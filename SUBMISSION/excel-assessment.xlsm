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924" codeName="{E757BCB4-07E6-AE0B-56E0-F0EEF7A6E26C}"/>
  <workbookPr codeName="ThisWorkbook1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C:\Users\Samar\Desktop\MapUp-Data-Assessment-F-main\"/>
    </mc:Choice>
  </mc:AlternateContent>
  <xr:revisionPtr revIDLastSave="0" documentId="13_ncr:1_{10D53BD8-7F35-4287-9A07-8E96329090A6}" xr6:coauthVersionLast="47" xr6:coauthVersionMax="47" xr10:uidLastSave="{00000000-0000-0000-0000-000000000000}"/>
  <bookViews>
    <workbookView xWindow="-108" yWindow="-108" windowWidth="23256" windowHeight="12456" tabRatio="849" xr2:uid="{00000000-000D-0000-FFFF-FFFF00000000}"/>
  </bookViews>
  <sheets>
    <sheet name="Instructions" sheetId="22" r:id="rId1"/>
    <sheet name="Dataset" sheetId="1" r:id="rId2"/>
    <sheet name="Task_1" sheetId="15" r:id="rId3"/>
    <sheet name="solution_1" sheetId="23" r:id="rId4"/>
    <sheet name="Task_2" sheetId="18" r:id="rId5"/>
    <sheet name="Task_3" sheetId="16" r:id="rId6"/>
    <sheet name="Task_4" sheetId="19" r:id="rId7"/>
    <sheet name="Task_5" sheetId="20" r:id="rId8"/>
  </sheets>
  <definedNames>
    <definedName name="_xlnm._FilterDatabase" localSheetId="1" hidden="1">Dataset!$A$1:$W$40</definedName>
    <definedName name="_xlnm._FilterDatabase" localSheetId="3" hidden="1">solution_1!$A$1:$X$41</definedName>
    <definedName name="LOCAL_DATE_SEPARATOR" hidden="1">INDEX(GET.WORKSPACE(37),17)</definedName>
    <definedName name="LOCAL_DAY_FORMAT" hidden="1">INDEX(GET.WORKSPACE(37),21)</definedName>
    <definedName name="LOCAL_HOUR_FORMAT" hidden="1">INDEX(GET.WORKSPACE(37),22)</definedName>
    <definedName name="LOCAL_MINUTE_FORMAT" hidden="1">INDEX(GET.WORKSPACE(37),23)</definedName>
    <definedName name="LOCAL_MONTH_FORMAT" hidden="1">INDEX(GET.WORKSPACE(37),20)</definedName>
    <definedName name="LOCAL_MYSQL_DATE_FORMAT" hidden="1">REPT(LOCAL_YEAR_FORMAT,4)&amp;LOCAL_DATE_SEPARATOR&amp;REPT(LOCAL_MONTH_FORMAT,2)&amp;LOCAL_DATE_SEPARATOR&amp;REPT(LOCAL_DAY_FORMAT,2)&amp;" "&amp;REPT(LOCAL_HOUR_FORMAT,2)&amp;LOCAL_TIME_SEPARATOR&amp;REPT(LOCAL_MINUTE_FORMAT,2)&amp;LOCAL_TIME_SEPARATOR&amp;REPT(LOCAL_SECOND_FORMAT,2)</definedName>
    <definedName name="LOCAL_SECOND_FORMAT" hidden="1">INDEX(GET.WORKSPACE(37),24)</definedName>
    <definedName name="LOCAL_TIME_SEPARATOR" hidden="1">INDEX(GET.WORKSPACE(37),18)</definedName>
    <definedName name="LOCAL_YEAR_FORMAT" hidden="1">INDEX(GET.WORKSPACE(37),19)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F35" i="20" l="1"/>
  <c r="F34" i="20"/>
  <c r="F33" i="20"/>
  <c r="F32" i="20"/>
  <c r="F31" i="20"/>
  <c r="F30" i="20"/>
  <c r="F29" i="20"/>
  <c r="F28" i="20"/>
  <c r="F27" i="20"/>
  <c r="F26" i="20"/>
  <c r="F25" i="20"/>
  <c r="F24" i="20"/>
  <c r="F23" i="20"/>
  <c r="J19" i="20"/>
  <c r="C19" i="20"/>
  <c r="D19" i="20"/>
  <c r="E19" i="20"/>
  <c r="F19" i="20"/>
  <c r="G19" i="20"/>
  <c r="H19" i="20"/>
  <c r="I19" i="20"/>
  <c r="B19" i="20"/>
  <c r="K18" i="20"/>
  <c r="K11" i="20"/>
  <c r="K12" i="20"/>
  <c r="K13" i="20"/>
  <c r="K14" i="20"/>
  <c r="K15" i="20"/>
  <c r="K16" i="20"/>
  <c r="K17" i="20"/>
  <c r="K10" i="20"/>
  <c r="C23" i="20"/>
  <c r="E35" i="20"/>
  <c r="E34" i="20"/>
  <c r="E33" i="20"/>
  <c r="E32" i="20"/>
  <c r="E31" i="20"/>
  <c r="E30" i="20"/>
  <c r="E29" i="20"/>
  <c r="E28" i="20"/>
  <c r="E27" i="20"/>
  <c r="E26" i="20"/>
  <c r="E25" i="20"/>
  <c r="E24" i="20"/>
  <c r="E23" i="20"/>
  <c r="D35" i="20"/>
  <c r="D34" i="20"/>
  <c r="D33" i="20"/>
  <c r="D32" i="20"/>
  <c r="D31" i="20"/>
  <c r="D30" i="20"/>
  <c r="D29" i="20"/>
  <c r="D28" i="20"/>
  <c r="D27" i="20"/>
  <c r="D26" i="20"/>
  <c r="D25" i="20"/>
  <c r="D24" i="20"/>
  <c r="D23" i="20"/>
  <c r="C35" i="20"/>
  <c r="C34" i="20"/>
  <c r="C33" i="20"/>
  <c r="C32" i="20"/>
  <c r="C31" i="20"/>
  <c r="C30" i="20"/>
  <c r="C29" i="20"/>
  <c r="C28" i="20"/>
  <c r="C25" i="20"/>
  <c r="C27" i="20"/>
  <c r="C26" i="20"/>
  <c r="C24" i="20"/>
  <c r="C22" i="19"/>
  <c r="F30" i="18"/>
  <c r="E30" i="18"/>
  <c r="D30" i="18"/>
  <c r="C30" i="18"/>
  <c r="B30" i="18"/>
  <c r="E29" i="18"/>
  <c r="F29" i="18"/>
  <c r="D29" i="18"/>
  <c r="C29" i="18"/>
  <c r="B29" i="18"/>
  <c r="C28" i="18"/>
  <c r="F28" i="18"/>
  <c r="E28" i="18"/>
  <c r="D28" i="18"/>
  <c r="B28" i="18"/>
  <c r="F27" i="18"/>
  <c r="F26" i="18"/>
  <c r="F25" i="18"/>
  <c r="F24" i="18"/>
  <c r="F23" i="18"/>
  <c r="F22" i="18"/>
  <c r="F21" i="18"/>
  <c r="F20" i="18"/>
  <c r="F19" i="18"/>
  <c r="F18" i="18"/>
  <c r="F17" i="18"/>
  <c r="F16" i="18"/>
  <c r="F15" i="18"/>
  <c r="F14" i="18"/>
  <c r="F13" i="18"/>
  <c r="F12" i="18"/>
  <c r="F11" i="18"/>
  <c r="F10" i="18"/>
  <c r="F9" i="18"/>
  <c r="F8" i="18"/>
  <c r="F7" i="18"/>
  <c r="F6" i="18"/>
  <c r="E6" i="18"/>
  <c r="E27" i="18"/>
  <c r="E26" i="18"/>
  <c r="E25" i="18"/>
  <c r="E24" i="18"/>
  <c r="E23" i="18"/>
  <c r="E22" i="18"/>
  <c r="E21" i="18"/>
  <c r="E20" i="18"/>
  <c r="E19" i="18"/>
  <c r="E18" i="18"/>
  <c r="E17" i="18"/>
  <c r="E16" i="18"/>
  <c r="E15" i="18"/>
  <c r="E14" i="18"/>
  <c r="E13" i="18"/>
  <c r="E12" i="18"/>
  <c r="E11" i="18"/>
  <c r="E10" i="18"/>
  <c r="E9" i="18"/>
  <c r="E8" i="18"/>
  <c r="E7" i="18"/>
  <c r="D6" i="18"/>
  <c r="D27" i="18"/>
  <c r="D26" i="18"/>
  <c r="D25" i="18"/>
  <c r="D24" i="18"/>
  <c r="D23" i="18"/>
  <c r="D22" i="18"/>
  <c r="D21" i="18"/>
  <c r="D20" i="18"/>
  <c r="D19" i="18"/>
  <c r="D18" i="18"/>
  <c r="D17" i="18"/>
  <c r="D16" i="18"/>
  <c r="D15" i="18"/>
  <c r="D14" i="18"/>
  <c r="D13" i="18"/>
  <c r="D12" i="18"/>
  <c r="D11" i="18"/>
  <c r="D10" i="18"/>
  <c r="D9" i="18"/>
  <c r="D8" i="18"/>
  <c r="D7" i="18"/>
  <c r="C6" i="18"/>
  <c r="C27" i="18"/>
  <c r="C26" i="18"/>
  <c r="C25" i="18"/>
  <c r="C24" i="18"/>
  <c r="C23" i="18"/>
  <c r="C22" i="18"/>
  <c r="C21" i="18"/>
  <c r="C20" i="18"/>
  <c r="C19" i="18"/>
  <c r="C18" i="18"/>
  <c r="C17" i="18"/>
  <c r="C16" i="18"/>
  <c r="C15" i="18"/>
  <c r="C14" i="18"/>
  <c r="C13" i="18"/>
  <c r="C12" i="18"/>
  <c r="C11" i="18"/>
  <c r="C10" i="18"/>
  <c r="C9" i="18"/>
  <c r="C8" i="18"/>
  <c r="C7" i="18"/>
  <c r="B6" i="18"/>
  <c r="B27" i="18"/>
  <c r="B26" i="18"/>
  <c r="B25" i="18"/>
  <c r="B24" i="18"/>
  <c r="B23" i="18"/>
  <c r="B22" i="18"/>
  <c r="B21" i="18"/>
  <c r="B20" i="18"/>
  <c r="B19" i="18"/>
  <c r="B18" i="18"/>
  <c r="B17" i="18"/>
  <c r="B16" i="18"/>
  <c r="B15" i="18"/>
  <c r="B14" i="18"/>
  <c r="B13" i="18"/>
  <c r="B12" i="18"/>
  <c r="B11" i="18"/>
  <c r="B10" i="18"/>
  <c r="B9" i="18"/>
  <c r="B8" i="18"/>
  <c r="B7" i="18"/>
  <c r="H41" i="23"/>
</calcChain>
</file>

<file path=xl/sharedStrings.xml><?xml version="1.0" encoding="utf-8"?>
<sst xmlns="http://schemas.openxmlformats.org/spreadsheetml/2006/main" count="557" uniqueCount="192">
  <si>
    <t>start_day</t>
  </si>
  <si>
    <t>start_time</t>
  </si>
  <si>
    <t>end_day</t>
  </si>
  <si>
    <t>end_time</t>
  </si>
  <si>
    <t>Butler Valley</t>
  </si>
  <si>
    <t>Monday</t>
  </si>
  <si>
    <t>Sunday</t>
  </si>
  <si>
    <t>Allegheny Valley</t>
  </si>
  <si>
    <t>Pittsburgh</t>
  </si>
  <si>
    <t>Irwin</t>
  </si>
  <si>
    <t>New Stanton</t>
  </si>
  <si>
    <t>Donegal</t>
  </si>
  <si>
    <t>Somerset</t>
  </si>
  <si>
    <t>Bedford</t>
  </si>
  <si>
    <t>Breezewood</t>
  </si>
  <si>
    <t>Fort Littleton</t>
  </si>
  <si>
    <t>Willow Hill</t>
  </si>
  <si>
    <t>Blue Mountain</t>
  </si>
  <si>
    <t>Carlisle</t>
  </si>
  <si>
    <t>Gettysburg Pike</t>
  </si>
  <si>
    <t>Harrisburg West</t>
  </si>
  <si>
    <t>Harrisburg East</t>
  </si>
  <si>
    <t>Lebanon-Lancaster</t>
  </si>
  <si>
    <t>Reading</t>
  </si>
  <si>
    <t>Morgantown</t>
  </si>
  <si>
    <t>Downingtown</t>
  </si>
  <si>
    <t>Valley Forge</t>
  </si>
  <si>
    <t>Norristown</t>
  </si>
  <si>
    <t>Fort Washington</t>
  </si>
  <si>
    <t>Willow Grove</t>
  </si>
  <si>
    <t>Bensalem</t>
  </si>
  <si>
    <t>Neshaminy Falls</t>
  </si>
  <si>
    <t>Mid-County</t>
  </si>
  <si>
    <t>Lansdale</t>
  </si>
  <si>
    <t>Quakertown</t>
  </si>
  <si>
    <t>Lehigh Valley</t>
  </si>
  <si>
    <t>Mahoning Valley</t>
  </si>
  <si>
    <t>Pocono</t>
  </si>
  <si>
    <t>Wilkes-Barre</t>
  </si>
  <si>
    <t>Wyoming Valley</t>
  </si>
  <si>
    <t>Warrendale</t>
  </si>
  <si>
    <t>S.R. 29</t>
  </si>
  <si>
    <t>S.R. 903</t>
  </si>
  <si>
    <t>ID</t>
  </si>
  <si>
    <t>Description</t>
  </si>
  <si>
    <t>Red, Green</t>
  </si>
  <si>
    <t>Freeze the top row</t>
  </si>
  <si>
    <t>Task_ID</t>
  </si>
  <si>
    <t>Task_Description</t>
  </si>
  <si>
    <t>col_1</t>
  </si>
  <si>
    <t>col_3</t>
  </si>
  <si>
    <t>col_4</t>
  </si>
  <si>
    <t>col_5</t>
  </si>
  <si>
    <t>Formula/Functionality used:</t>
  </si>
  <si>
    <t>col_6</t>
  </si>
  <si>
    <t>Task_2</t>
  </si>
  <si>
    <t>Task_3</t>
  </si>
  <si>
    <t xml:space="preserve">Virginia Drive </t>
  </si>
  <si>
    <t xml:space="preserve">St. Rd </t>
  </si>
  <si>
    <t>Laptop</t>
  </si>
  <si>
    <t>Smartphone</t>
  </si>
  <si>
    <t>Headphones</t>
  </si>
  <si>
    <t>Blender</t>
  </si>
  <si>
    <t>Sunglasses</t>
  </si>
  <si>
    <t>name</t>
  </si>
  <si>
    <t>car2</t>
  </si>
  <si>
    <t>car3</t>
  </si>
  <si>
    <t>moto1</t>
  </si>
  <si>
    <t>moto2</t>
  </si>
  <si>
    <t>moto3</t>
  </si>
  <si>
    <t>bus1</t>
  </si>
  <si>
    <t>bus2</t>
  </si>
  <si>
    <t>bus3</t>
  </si>
  <si>
    <t>rv1</t>
  </si>
  <si>
    <t>rv2</t>
  </si>
  <si>
    <t>rv3</t>
  </si>
  <si>
    <t>truck2</t>
  </si>
  <si>
    <t>taxi2</t>
  </si>
  <si>
    <t>taxi3</t>
  </si>
  <si>
    <t>car1</t>
  </si>
  <si>
    <t>truck1</t>
  </si>
  <si>
    <t>taxi1</t>
  </si>
  <si>
    <t>Minimum</t>
  </si>
  <si>
    <t>Maximum</t>
  </si>
  <si>
    <t>Average</t>
  </si>
  <si>
    <t>Task_4</t>
  </si>
  <si>
    <t>Date</t>
  </si>
  <si>
    <t>Product</t>
  </si>
  <si>
    <t>Sales</t>
  </si>
  <si>
    <t>A</t>
  </si>
  <si>
    <t>B</t>
  </si>
  <si>
    <t>C</t>
  </si>
  <si>
    <t>D</t>
  </si>
  <si>
    <t>E</t>
  </si>
  <si>
    <t>F</t>
  </si>
  <si>
    <t>G</t>
  </si>
  <si>
    <t>H</t>
  </si>
  <si>
    <t>I</t>
  </si>
  <si>
    <t>Task_5</t>
  </si>
  <si>
    <t>Name</t>
  </si>
  <si>
    <t>name_1</t>
  </si>
  <si>
    <t>name_2</t>
  </si>
  <si>
    <t>value</t>
  </si>
  <si>
    <t>values</t>
  </si>
  <si>
    <t>Give the sum of all values greater than '20' in column H labelled 'car2'</t>
  </si>
  <si>
    <t>Please paste formula used here</t>
  </si>
  <si>
    <t>date</t>
  </si>
  <si>
    <t>Format the dates given in column X labelled 'dates' in format: 'YYYY-MM-DD'</t>
  </si>
  <si>
    <t>Highlight all '-1' values in red colour and all '0' values in green.</t>
  </si>
  <si>
    <t>Instructions</t>
  </si>
  <si>
    <t>1. There are 5 tasks in total for the Excel assessment.</t>
  </si>
  <si>
    <t>2. Each task holds different weightage.</t>
  </si>
  <si>
    <t>3. For Task_1 and Task_2, please refer to the "Datasheet" tab.</t>
  </si>
  <si>
    <t>21000-Monday-0-Sunday-24</t>
  </si>
  <si>
    <t>21002-Monday-0-Sunday-24</t>
  </si>
  <si>
    <t>21004-Monday-0-Sunday-24</t>
  </si>
  <si>
    <t>21006-Monday-0-Sunday-24</t>
  </si>
  <si>
    <t>21008-Monday-0-Sunday-24</t>
  </si>
  <si>
    <t>21010-Monday-0-Sunday-24</t>
  </si>
  <si>
    <t>21012-Monday-0-Sunday-24</t>
  </si>
  <si>
    <t>21014-Monday-0-Sunday-24</t>
  </si>
  <si>
    <t>21016-Monday-0-Sunday-24</t>
  </si>
  <si>
    <t>20000-Monday-0-Sunday-24</t>
  </si>
  <si>
    <t>20002-Monday-0-Sunday-24</t>
  </si>
  <si>
    <t>20004-Monday-0-Sunday-24</t>
  </si>
  <si>
    <t>20006-Monday-0-Sunday-24</t>
  </si>
  <si>
    <t>20008-Monday-0-Sunday-24</t>
  </si>
  <si>
    <t>20010-Monday-0-Sunday-24</t>
  </si>
  <si>
    <t>20012-Monday-0-Sunday-24</t>
  </si>
  <si>
    <t>20014-Monday-0-Sunday-24</t>
  </si>
  <si>
    <t>20016-Monday-0-Sunday-24</t>
  </si>
  <si>
    <t>20018-Monday-0-Sunday-24</t>
  </si>
  <si>
    <t>20020-Monday-0-Sunday-24</t>
  </si>
  <si>
    <t>20022-Monday-0-Sunday-24</t>
  </si>
  <si>
    <t>20024-Monday-0-Sunday-24</t>
  </si>
  <si>
    <t>20026-Monday-0-Sunday-24</t>
  </si>
  <si>
    <t>20028-Monday-0-Sunday-24</t>
  </si>
  <si>
    <t>20030-Monday-0-Sunday-24</t>
  </si>
  <si>
    <t>20032-Monday-0-Sunday-24</t>
  </si>
  <si>
    <t>20034-Monday-0-Sunday-24</t>
  </si>
  <si>
    <t>20036-Monday-0-Sunday-24</t>
  </si>
  <si>
    <t>20038-Monday-0-Sunday-24</t>
  </si>
  <si>
    <t>20040-Monday-0-Sunday-24</t>
  </si>
  <si>
    <t>20042-Monday-0-Sunday-24</t>
  </si>
  <si>
    <t>20044-Monday-0-Sunday-24</t>
  </si>
  <si>
    <t>20046-Monday-0-Sunday-24</t>
  </si>
  <si>
    <t>20048-Monday-0-Sunday-24</t>
  </si>
  <si>
    <t>20050-Monday-0-Sunday-24</t>
  </si>
  <si>
    <t>20052-Monday-0-Sunday-24</t>
  </si>
  <si>
    <t>20054-Monday-0-Sunday-24</t>
  </si>
  <si>
    <t>20058-Monday-0-Sunday-24</t>
  </si>
  <si>
    <t>20060-Monday-0-Sunday-24</t>
  </si>
  <si>
    <t xml:space="preserve">(In the cell below, please write the formula or name of the functionality that you've used to get the required output. Also, explain the process briefly) </t>
  </si>
  <si>
    <t>4. Please provide explanation to your solution wherever you're prompted to do so.</t>
  </si>
  <si>
    <t>Explanation:</t>
  </si>
  <si>
    <t>Tablet</t>
  </si>
  <si>
    <t>Camera</t>
  </si>
  <si>
    <t>Printer</t>
  </si>
  <si>
    <t>Keyboard</t>
  </si>
  <si>
    <t>Mouse</t>
  </si>
  <si>
    <t>Sum</t>
  </si>
  <si>
    <t>Please carry out the following tasks within the "Dataset" tab.</t>
  </si>
  <si>
    <t>2. Calculate minimum, maximum and average values for each column at the bottom.</t>
  </si>
  <si>
    <t>Table_A</t>
  </si>
  <si>
    <t>Table_B</t>
  </si>
  <si>
    <t>1. Using relevant Excel formulas, fill up the corresponding empty cells in Table_A with values from the "Dataset" worksheet.</t>
  </si>
  <si>
    <t>Example_table</t>
  </si>
  <si>
    <t>All #N/A values must be substituted with the value '20'</t>
  </si>
  <si>
    <t>Using appropriate formula, calculate the sum of sales in Table_A using the following condition:</t>
  </si>
  <si>
    <t>Table_C</t>
  </si>
  <si>
    <t>Marks</t>
  </si>
  <si>
    <t>Total</t>
  </si>
  <si>
    <t>Task</t>
  </si>
  <si>
    <t>Task_1</t>
  </si>
  <si>
    <t>Allocation of marks by task</t>
  </si>
  <si>
    <t>Using either Excel formulas or built-in functionality, split the values given in Table_A into distinct cells as given in Example_table.</t>
  </si>
  <si>
    <t>Fill the values in column "value" of Table_C using the tables A and B.</t>
  </si>
  <si>
    <t>Mark assigned</t>
  </si>
  <si>
    <t xml:space="preserve"> Explanation</t>
  </si>
  <si>
    <t>1) View &gt; Freeze Panes &gt; Freeze Top Row</t>
  </si>
  <si>
    <t>1) Select all values.                                        2) Then go to Home &gt; Conditional  Formating &gt; Highlight cells Rules &gt; Equal To &gt; set the condition as per requerment &gt; click "OK"</t>
  </si>
  <si>
    <t>.= SUMIF(H2:H40,"&gt;20")</t>
  </si>
  <si>
    <t>1) Select the X labelled data
2) Home &gt; Number Format &gt;   More Number Formats &gt; Number &gt; Date &gt; Set Sample Date &gt; OK</t>
  </si>
  <si>
    <t>1) First in col_1 type '20000' then select all colume the click 'ctrl + E' (Using Flash Fill)</t>
  </si>
  <si>
    <t xml:space="preserve">2) 1st select 'values column' in 'Table_A' then go 'Data' &gt; 'Text to Column' &gt; 'Delimited' &gt;  'Next' &gt; 'Other'  then type '-' &gt;  'Next' &gt; 'Finish' &gt; 'OK' </t>
  </si>
  <si>
    <t xml:space="preserve"> Flash Fill / Inbuilt Function</t>
  </si>
  <si>
    <t>1) using replace we replace the thevalue #N/A to 20
2) Using sum function calculate the sum</t>
  </si>
  <si>
    <t>1) select the sales column &gt; click 'ctrl + F' &gt; Replace &gt; Find with:(Type '#N/A') &gt; Replace with:(20) &gt; Replace All &gt; OK</t>
  </si>
  <si>
    <t>2) use sum furmula (=sum()) to calculate the sum</t>
  </si>
  <si>
    <t>value_2</t>
  </si>
  <si>
    <t>value_3</t>
  </si>
  <si>
    <t>value_4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</si>
</sst>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3">
    <numFmt numFmtId="164" formatCode="hh:mm:ss;@"/>
    <numFmt numFmtId="165" formatCode="yyyy\-mm\-dd;@"/>
    <numFmt numFmtId="166" formatCode="[$-14009]yyyy/mm/dd;@"/>
  </numFmts>
  <fonts count="21" x14ac:knownFonts="1">
    <font>
      <sz val="10"/>
      <color rgb="FF000000"/>
      <name val="Times New Roman"/>
      <charset val="204"/>
    </font>
    <font>
      <sz val="11"/>
      <color theme="1"/>
      <name val="Calibri"/>
      <family val="2"/>
      <scheme val="minor"/>
    </font>
    <font>
      <sz val="10"/>
      <color rgb="FF000000"/>
      <name val="Times New Roman"/>
      <family val="1"/>
    </font>
    <font>
      <sz val="11"/>
      <color rgb="FF00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name val="Times New Roman"/>
      <family val="1"/>
      <charset val="204"/>
    </font>
    <font>
      <b/>
      <sz val="11"/>
      <color rgb="FFFF0000"/>
      <name val="Calibri"/>
      <family val="2"/>
      <scheme val="minor"/>
    </font>
    <font>
      <b/>
      <sz val="11"/>
      <color rgb="FF000000"/>
      <name val="Calibri"/>
      <family val="2"/>
      <scheme val="minor"/>
    </font>
    <font>
      <sz val="10"/>
      <color rgb="FF000000"/>
      <name val="Calibri"/>
      <family val="2"/>
      <scheme val="minor"/>
    </font>
    <font>
      <b/>
      <sz val="10"/>
      <color rgb="FF000000"/>
      <name val="Calibri"/>
      <family val="2"/>
      <scheme val="minor"/>
    </font>
    <font>
      <sz val="8"/>
      <name val="Times New Roman"/>
      <family val="1"/>
    </font>
    <font>
      <b/>
      <sz val="11"/>
      <color theme="0"/>
      <name val="Calibri"/>
      <family val="2"/>
      <scheme val="minor"/>
    </font>
    <font>
      <b/>
      <sz val="18"/>
      <color theme="5" tint="-0.249977111117893"/>
      <name val="Calibri"/>
      <family val="2"/>
      <scheme val="minor"/>
    </font>
    <font>
      <b/>
      <sz val="14"/>
      <color rgb="FF000000"/>
      <name val="Calibri"/>
      <family val="2"/>
      <scheme val="minor"/>
    </font>
    <font>
      <i/>
      <sz val="10"/>
      <color rgb="FF000000"/>
      <name val="Calibri"/>
      <family val="2"/>
      <scheme val="minor"/>
    </font>
    <font>
      <sz val="14"/>
      <color rgb="FF000000"/>
      <name val="Calibri"/>
      <family val="2"/>
      <scheme val="minor"/>
    </font>
    <font>
      <sz val="16"/>
      <color rgb="FF000000"/>
      <name val="Calibri"/>
      <family val="2"/>
      <scheme val="minor"/>
    </font>
    <font>
      <b/>
      <sz val="16"/>
      <color theme="0"/>
      <name val="Calibri"/>
      <family val="2"/>
      <scheme val="minor"/>
    </font>
    <font>
      <b/>
      <sz val="14"/>
      <color theme="0"/>
      <name val="Calibri"/>
      <family val="2"/>
      <scheme val="minor"/>
    </font>
    <font>
      <sz val="18"/>
      <color rgb="FF000000"/>
      <name val="Calibri"/>
      <family val="2"/>
      <scheme val="minor"/>
    </font>
    <font>
      <sz val="20"/>
      <color rgb="FF000000"/>
      <name val="Calibri"/>
      <family val="2"/>
      <scheme val="minor"/>
    </font>
  </fonts>
  <fills count="9">
    <fill>
      <patternFill patternType="none"/>
    </fill>
    <fill>
      <patternFill patternType="gray125"/>
    </fill>
    <fill>
      <patternFill patternType="solid">
        <fgColor rgb="FF92CDDC"/>
        <bgColor rgb="FF000000"/>
      </patternFill>
    </fill>
    <fill>
      <patternFill patternType="solid">
        <fgColor rgb="FFB1A0C7"/>
        <bgColor rgb="FF000000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4" tint="0.59999389629810485"/>
        <bgColor indexed="64"/>
      </patternFill>
    </fill>
  </fills>
  <borders count="1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1">
    <xf numFmtId="0" fontId="0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" fillId="0" borderId="0"/>
    <xf numFmtId="0" fontId="1" fillId="0" borderId="0"/>
    <xf numFmtId="0" fontId="1" fillId="0" borderId="0"/>
    <xf numFmtId="0" fontId="5" fillId="0" borderId="0">
      <alignment vertical="top" wrapText="1"/>
    </xf>
    <xf numFmtId="0" fontId="1" fillId="0" borderId="0"/>
  </cellStyleXfs>
  <cellXfs count="67">
    <xf numFmtId="0" fontId="0" fillId="0" borderId="0" xfId="0"/>
    <xf numFmtId="0" fontId="3" fillId="0" borderId="0" xfId="0" applyFont="1"/>
    <xf numFmtId="0" fontId="8" fillId="0" borderId="0" xfId="0" applyFont="1"/>
    <xf numFmtId="0" fontId="7" fillId="0" borderId="0" xfId="0" applyFont="1"/>
    <xf numFmtId="0" fontId="11" fillId="4" borderId="0" xfId="0" applyFont="1" applyFill="1"/>
    <xf numFmtId="0" fontId="3" fillId="0" borderId="2" xfId="0" applyFont="1" applyBorder="1"/>
    <xf numFmtId="0" fontId="3" fillId="0" borderId="4" xfId="0" applyFont="1" applyBorder="1"/>
    <xf numFmtId="0" fontId="3" fillId="0" borderId="5" xfId="0" applyFont="1" applyBorder="1"/>
    <xf numFmtId="0" fontId="3" fillId="0" borderId="6" xfId="0" applyFont="1" applyBorder="1"/>
    <xf numFmtId="0" fontId="3" fillId="0" borderId="7" xfId="0" applyFont="1" applyBorder="1"/>
    <xf numFmtId="0" fontId="3" fillId="0" borderId="8" xfId="0" applyFont="1" applyBorder="1"/>
    <xf numFmtId="0" fontId="3" fillId="0" borderId="9" xfId="0" applyFont="1" applyBorder="1"/>
    <xf numFmtId="0" fontId="3" fillId="0" borderId="10" xfId="0" applyFont="1" applyBorder="1"/>
    <xf numFmtId="0" fontId="3" fillId="0" borderId="1" xfId="0" applyFont="1" applyBorder="1"/>
    <xf numFmtId="0" fontId="12" fillId="0" borderId="0" xfId="1" applyFont="1"/>
    <xf numFmtId="0" fontId="7" fillId="0" borderId="1" xfId="0" applyFont="1" applyBorder="1"/>
    <xf numFmtId="0" fontId="7" fillId="0" borderId="8" xfId="0" applyFont="1" applyBorder="1"/>
    <xf numFmtId="0" fontId="7" fillId="2" borderId="1" xfId="0" applyFont="1" applyFill="1" applyBorder="1"/>
    <xf numFmtId="0" fontId="7" fillId="3" borderId="1" xfId="0" applyFont="1" applyFill="1" applyBorder="1"/>
    <xf numFmtId="0" fontId="7" fillId="2" borderId="10" xfId="0" applyFont="1" applyFill="1" applyBorder="1"/>
    <xf numFmtId="164" fontId="3" fillId="0" borderId="0" xfId="0" applyNumberFormat="1" applyFont="1"/>
    <xf numFmtId="0" fontId="8" fillId="0" borderId="1" xfId="0" applyFont="1" applyBorder="1"/>
    <xf numFmtId="0" fontId="9" fillId="0" borderId="1" xfId="0" applyFont="1" applyBorder="1"/>
    <xf numFmtId="14" fontId="3" fillId="0" borderId="0" xfId="0" applyNumberFormat="1" applyFont="1"/>
    <xf numFmtId="0" fontId="4" fillId="0" borderId="0" xfId="0" applyFont="1"/>
    <xf numFmtId="164" fontId="4" fillId="0" borderId="0" xfId="0" applyNumberFormat="1" applyFont="1"/>
    <xf numFmtId="0" fontId="7" fillId="2" borderId="0" xfId="0" applyFont="1" applyFill="1"/>
    <xf numFmtId="0" fontId="7" fillId="3" borderId="0" xfId="0" applyFont="1" applyFill="1"/>
    <xf numFmtId="0" fontId="3" fillId="5" borderId="1" xfId="0" applyFont="1" applyFill="1" applyBorder="1"/>
    <xf numFmtId="165" fontId="3" fillId="0" borderId="1" xfId="0" applyNumberFormat="1" applyFont="1" applyBorder="1"/>
    <xf numFmtId="0" fontId="7" fillId="0" borderId="1" xfId="0" applyFont="1" applyBorder="1" applyAlignment="1">
      <alignment vertical="center"/>
    </xf>
    <xf numFmtId="0" fontId="8" fillId="0" borderId="2" xfId="0" applyFont="1" applyBorder="1"/>
    <xf numFmtId="0" fontId="9" fillId="0" borderId="8" xfId="0" applyFont="1" applyBorder="1"/>
    <xf numFmtId="0" fontId="8" fillId="0" borderId="6" xfId="0" applyFont="1" applyBorder="1"/>
    <xf numFmtId="0" fontId="8" fillId="0" borderId="8" xfId="0" applyFont="1" applyBorder="1"/>
    <xf numFmtId="0" fontId="13" fillId="0" borderId="1" xfId="0" applyFont="1" applyBorder="1"/>
    <xf numFmtId="0" fontId="15" fillId="0" borderId="0" xfId="0" applyFont="1"/>
    <xf numFmtId="0" fontId="16" fillId="0" borderId="0" xfId="0" applyFont="1"/>
    <xf numFmtId="0" fontId="17" fillId="4" borderId="0" xfId="1" applyFont="1" applyFill="1" applyAlignment="1">
      <alignment horizontal="center"/>
    </xf>
    <xf numFmtId="0" fontId="13" fillId="0" borderId="0" xfId="0" applyFont="1"/>
    <xf numFmtId="0" fontId="8" fillId="0" borderId="3" xfId="0" applyFont="1" applyBorder="1"/>
    <xf numFmtId="0" fontId="8" fillId="0" borderId="5" xfId="0" applyFont="1" applyBorder="1"/>
    <xf numFmtId="0" fontId="18" fillId="4" borderId="0" xfId="0" applyFont="1" applyFill="1"/>
    <xf numFmtId="0" fontId="6" fillId="0" borderId="1" xfId="0" applyFont="1" applyBorder="1"/>
    <xf numFmtId="0" fontId="3" fillId="0" borderId="1" xfId="0" applyFont="1" applyBorder="1" applyAlignment="1">
      <alignment horizontal="center"/>
    </xf>
    <xf numFmtId="0" fontId="8" fillId="0" borderId="1" xfId="0" applyFont="1" applyBorder="1" applyAlignment="1">
      <alignment vertical="center"/>
    </xf>
    <xf numFmtId="0" fontId="3" fillId="0" borderId="1" xfId="0" applyFont="1" applyBorder="1" applyAlignment="1">
      <alignment vertical="center"/>
    </xf>
    <xf numFmtId="0" fontId="3" fillId="0" borderId="1" xfId="0" applyFont="1" applyBorder="1" applyAlignment="1">
      <alignment horizontal="center" vertical="center"/>
    </xf>
    <xf numFmtId="0" fontId="3" fillId="6" borderId="1" xfId="0" applyFont="1" applyFill="1" applyBorder="1" applyAlignment="1">
      <alignment vertical="center" wrapText="1"/>
    </xf>
    <xf numFmtId="0" fontId="3" fillId="6" borderId="1" xfId="0" applyFont="1" applyFill="1" applyBorder="1"/>
    <xf numFmtId="0" fontId="4" fillId="0" borderId="1" xfId="0" applyFont="1" applyBorder="1" applyAlignment="1">
      <alignment horizontal="center" vertical="center"/>
    </xf>
    <xf numFmtId="0" fontId="14" fillId="0" borderId="1" xfId="0" applyFont="1" applyBorder="1" applyAlignment="1">
      <alignment vertical="center"/>
    </xf>
    <xf numFmtId="0" fontId="19" fillId="6" borderId="1" xfId="0" applyFont="1" applyFill="1" applyBorder="1" applyAlignment="1">
      <alignment horizontal="center" vertical="center"/>
    </xf>
    <xf numFmtId="166" fontId="3" fillId="7" borderId="0" xfId="0" applyNumberFormat="1" applyFont="1" applyFill="1"/>
    <xf numFmtId="0" fontId="3" fillId="6" borderId="1" xfId="0" applyFont="1" applyFill="1" applyBorder="1" applyAlignment="1">
      <alignment wrapText="1"/>
    </xf>
    <xf numFmtId="49" fontId="3" fillId="0" borderId="6" xfId="0" applyNumberFormat="1" applyFont="1" applyBorder="1"/>
    <xf numFmtId="49" fontId="3" fillId="0" borderId="0" xfId="0" applyNumberFormat="1" applyFont="1"/>
    <xf numFmtId="49" fontId="3" fillId="0" borderId="2" xfId="0" applyNumberFormat="1" applyFont="1" applyBorder="1"/>
    <xf numFmtId="49" fontId="3" fillId="0" borderId="7" xfId="0" applyNumberFormat="1" applyFont="1" applyBorder="1"/>
    <xf numFmtId="49" fontId="3" fillId="0" borderId="4" xfId="0" applyNumberFormat="1" applyFont="1" applyBorder="1"/>
    <xf numFmtId="49" fontId="3" fillId="0" borderId="5" xfId="0" applyNumberFormat="1" applyFont="1" applyBorder="1"/>
    <xf numFmtId="0" fontId="3" fillId="8" borderId="0" xfId="0" applyFont="1" applyFill="1"/>
    <xf numFmtId="0" fontId="7" fillId="0" borderId="0" xfId="0" applyFont="1" applyAlignment="1">
      <alignment vertical="top"/>
    </xf>
    <xf numFmtId="0" fontId="3" fillId="6" borderId="0" xfId="0" applyFont="1" applyFill="1"/>
    <xf numFmtId="0" fontId="8" fillId="6" borderId="0" xfId="0" applyFont="1" applyFill="1"/>
    <xf numFmtId="164" fontId="20" fillId="7" borderId="1" xfId="0" applyNumberFormat="1" applyFont="1" applyFill="1" applyBorder="1" applyAlignment="1">
      <alignment horizontal="center"/>
    </xf>
    <xf numFmtId="0" fontId="3" fillId="8" borderId="0" xfId="0" applyFont="1" applyFill="1" applyAlignment="1">
      <alignment horizontal="left" vertical="top" wrapText="1"/>
    </xf>
  </cellXfs>
  <cellStyles count="11">
    <cellStyle name="Normal" xfId="0" builtinId="0"/>
    <cellStyle name="Normal 2" xfId="1" xr:uid="{00000000-0005-0000-0000-000001000000}"/>
    <cellStyle name="Normal 2 2" xfId="3" xr:uid="{00000000-0005-0000-0000-000003000000}"/>
    <cellStyle name="Normal 2 3" xfId="7" xr:uid="{00000000-0005-0000-0000-000007000000}"/>
    <cellStyle name="Normal 3" xfId="2" xr:uid="{00000000-0005-0000-0000-000002000000}"/>
    <cellStyle name="Normal 3 2" xfId="8" xr:uid="{00000000-0005-0000-0000-000008000000}"/>
    <cellStyle name="Normal 4" xfId="4" xr:uid="{00000000-0005-0000-0000-000004000000}"/>
    <cellStyle name="Normal 5" xfId="5" xr:uid="{00000000-0005-0000-0000-000005000000}"/>
    <cellStyle name="Normal 5 2" xfId="6" xr:uid="{00000000-0005-0000-0000-000006000000}"/>
    <cellStyle name="Normal 5 3" xfId="10" xr:uid="{00000000-0005-0000-0000-00000A000000}"/>
    <cellStyle name="Normal 7" xfId="9" xr:uid="{00000000-0005-0000-0000-000009000000}"/>
  </cellStyles>
  <dxfs count="8">
    <dxf>
      <font>
        <color rgb="FF9C0006"/>
      </font>
    </dxf>
    <dxf>
      <font>
        <color rgb="FF00B050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</font>
      <fill>
        <patternFill>
          <bgColor rgb="FFD7D7D7"/>
        </patternFill>
      </fill>
    </dxf>
    <dxf>
      <fill>
        <patternFill>
          <bgColor indexed="65"/>
        </patternFill>
      </fill>
    </dxf>
  </dxfs>
  <tableStyles count="1" defaultTableStyle="TableStyleMedium2" defaultPivotStyle="PivotStyleLight16">
    <tableStyle name="MySqlDefault" pivot="0" table="0" count="2" xr9:uid="{00000000-0011-0000-FFFF-FFFF00000000}">
      <tableStyleElement type="wholeTable" dxfId="7"/>
      <tableStyleElement type="headerRow" dxfId="6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D640C6B-00D6-2F4A-81A0-F5C8C2705560}">
  <sheetPr>
    <tabColor theme="9" tint="0.39997558519241921"/>
  </sheetPr>
  <dimension ref="A1:C15"/>
  <sheetViews>
    <sheetView tabSelected="1" zoomScaleNormal="100" workbookViewId="0">
      <selection activeCell="D26" sqref="D26"/>
    </sheetView>
  </sheetViews>
  <sheetFormatPr defaultColWidth="11" defaultRowHeight="13.8" x14ac:dyDescent="0.3"/>
  <cols>
    <col min="1" max="1" width="70.77734375" style="2" bestFit="1" customWidth="1"/>
    <col min="2" max="16384" width="11" style="2"/>
  </cols>
  <sheetData>
    <row r="1" spans="1:3" ht="18" x14ac:dyDescent="0.35">
      <c r="A1" s="35" t="s">
        <v>109</v>
      </c>
    </row>
    <row r="2" spans="1:3" x14ac:dyDescent="0.3">
      <c r="A2" s="2" t="s">
        <v>110</v>
      </c>
    </row>
    <row r="3" spans="1:3" x14ac:dyDescent="0.3">
      <c r="A3" s="2" t="s">
        <v>111</v>
      </c>
    </row>
    <row r="4" spans="1:3" ht="14.4" x14ac:dyDescent="0.3">
      <c r="A4" s="2" t="s">
        <v>112</v>
      </c>
      <c r="C4" s="1"/>
    </row>
    <row r="5" spans="1:3" x14ac:dyDescent="0.3">
      <c r="A5" s="2" t="s">
        <v>153</v>
      </c>
    </row>
    <row r="8" spans="1:3" x14ac:dyDescent="0.3">
      <c r="A8" s="2" t="s">
        <v>174</v>
      </c>
    </row>
    <row r="9" spans="1:3" x14ac:dyDescent="0.3">
      <c r="A9" s="32" t="s">
        <v>172</v>
      </c>
      <c r="B9" s="22" t="s">
        <v>170</v>
      </c>
    </row>
    <row r="10" spans="1:3" x14ac:dyDescent="0.3">
      <c r="A10" s="31" t="s">
        <v>173</v>
      </c>
      <c r="B10" s="33">
        <v>25</v>
      </c>
    </row>
    <row r="11" spans="1:3" x14ac:dyDescent="0.3">
      <c r="A11" s="31" t="s">
        <v>55</v>
      </c>
      <c r="B11" s="33">
        <v>30</v>
      </c>
    </row>
    <row r="12" spans="1:3" x14ac:dyDescent="0.3">
      <c r="A12" s="31" t="s">
        <v>56</v>
      </c>
      <c r="B12" s="33">
        <v>10</v>
      </c>
    </row>
    <row r="13" spans="1:3" x14ac:dyDescent="0.3">
      <c r="A13" s="31" t="s">
        <v>85</v>
      </c>
      <c r="B13" s="33">
        <v>20</v>
      </c>
    </row>
    <row r="14" spans="1:3" x14ac:dyDescent="0.3">
      <c r="A14" s="31" t="s">
        <v>98</v>
      </c>
      <c r="B14" s="33">
        <v>40</v>
      </c>
    </row>
    <row r="15" spans="1:3" x14ac:dyDescent="0.3">
      <c r="A15" s="34" t="s">
        <v>171</v>
      </c>
      <c r="B15" s="21">
        <v>125</v>
      </c>
    </row>
  </sheetData>
  <phoneticPr fontId="10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X40"/>
  <sheetViews>
    <sheetView topLeftCell="K8" zoomScaleNormal="100" workbookViewId="0">
      <selection activeCell="W39" sqref="W39"/>
    </sheetView>
  </sheetViews>
  <sheetFormatPr defaultColWidth="9" defaultRowHeight="14.4" x14ac:dyDescent="0.3"/>
  <cols>
    <col min="1" max="1" width="25.44140625" style="1" bestFit="1" customWidth="1"/>
    <col min="2" max="2" width="7.44140625" style="1" bestFit="1" customWidth="1"/>
    <col min="3" max="3" width="9.77734375" style="1" bestFit="1" customWidth="1"/>
    <col min="4" max="4" width="11" style="20" customWidth="1"/>
    <col min="5" max="5" width="9.21875" style="1" bestFit="1" customWidth="1"/>
    <col min="6" max="6" width="10.44140625" style="20" bestFit="1" customWidth="1"/>
    <col min="7" max="9" width="12.77734375" style="1" bestFit="1" customWidth="1"/>
    <col min="10" max="12" width="13" style="1" bestFit="1" customWidth="1"/>
    <col min="13" max="15" width="14.21875" style="1" bestFit="1" customWidth="1"/>
    <col min="16" max="18" width="14.44140625" style="1" bestFit="1" customWidth="1"/>
    <col min="19" max="20" width="18.77734375" style="1" bestFit="1" customWidth="1"/>
    <col min="21" max="23" width="19" style="1" bestFit="1" customWidth="1"/>
    <col min="24" max="24" width="12.5546875" style="1" bestFit="1" customWidth="1"/>
    <col min="25" max="16384" width="9" style="1"/>
  </cols>
  <sheetData>
    <row r="1" spans="1:24" s="3" customFormat="1" ht="14.7" customHeight="1" x14ac:dyDescent="0.3">
      <c r="A1" s="24" t="s">
        <v>64</v>
      </c>
      <c r="B1" s="24" t="s">
        <v>43</v>
      </c>
      <c r="C1" s="24" t="s">
        <v>0</v>
      </c>
      <c r="D1" s="25" t="s">
        <v>1</v>
      </c>
      <c r="E1" s="24" t="s">
        <v>2</v>
      </c>
      <c r="F1" s="25" t="s">
        <v>3</v>
      </c>
      <c r="G1" s="26" t="s">
        <v>79</v>
      </c>
      <c r="H1" s="26" t="s">
        <v>65</v>
      </c>
      <c r="I1" s="26" t="s">
        <v>66</v>
      </c>
      <c r="J1" s="27" t="s">
        <v>67</v>
      </c>
      <c r="K1" s="27" t="s">
        <v>68</v>
      </c>
      <c r="L1" s="27" t="s">
        <v>69</v>
      </c>
      <c r="M1" s="26" t="s">
        <v>70</v>
      </c>
      <c r="N1" s="26" t="s">
        <v>71</v>
      </c>
      <c r="O1" s="26" t="s">
        <v>72</v>
      </c>
      <c r="P1" s="27" t="s">
        <v>73</v>
      </c>
      <c r="Q1" s="27" t="s">
        <v>74</v>
      </c>
      <c r="R1" s="27" t="s">
        <v>75</v>
      </c>
      <c r="S1" s="26" t="s">
        <v>80</v>
      </c>
      <c r="T1" s="26" t="s">
        <v>76</v>
      </c>
      <c r="U1" s="27" t="s">
        <v>81</v>
      </c>
      <c r="V1" s="27" t="s">
        <v>77</v>
      </c>
      <c r="W1" s="27" t="s">
        <v>78</v>
      </c>
      <c r="X1" s="3" t="s">
        <v>106</v>
      </c>
    </row>
    <row r="2" spans="1:24" x14ac:dyDescent="0.3">
      <c r="A2" s="1" t="s">
        <v>40</v>
      </c>
      <c r="B2" s="1">
        <v>20000</v>
      </c>
      <c r="C2" s="1" t="s">
        <v>5</v>
      </c>
      <c r="D2" s="20">
        <v>0</v>
      </c>
      <c r="E2" s="1" t="s">
        <v>6</v>
      </c>
      <c r="F2" s="20">
        <v>0.99998842592592596</v>
      </c>
      <c r="G2" s="1">
        <v>2.7</v>
      </c>
      <c r="H2" s="1">
        <v>3.6</v>
      </c>
      <c r="I2" s="1">
        <v>4.2</v>
      </c>
      <c r="J2" s="1">
        <v>-1</v>
      </c>
      <c r="K2" s="1">
        <v>-1</v>
      </c>
      <c r="L2" s="1">
        <v>-1</v>
      </c>
      <c r="M2" s="1">
        <v>5.3</v>
      </c>
      <c r="N2" s="1">
        <v>7.6</v>
      </c>
      <c r="O2" s="1">
        <v>8.9</v>
      </c>
      <c r="P2" s="1">
        <v>2.7</v>
      </c>
      <c r="Q2" s="1">
        <v>3.6</v>
      </c>
      <c r="R2" s="1">
        <v>4.2</v>
      </c>
      <c r="S2" s="1">
        <v>7.6</v>
      </c>
      <c r="T2" s="1">
        <v>8.9</v>
      </c>
      <c r="U2" s="1">
        <v>3.6</v>
      </c>
      <c r="V2" s="1">
        <v>4.2</v>
      </c>
      <c r="W2" s="1">
        <v>4.2</v>
      </c>
      <c r="X2" s="23">
        <v>45051</v>
      </c>
    </row>
    <row r="3" spans="1:24" x14ac:dyDescent="0.3">
      <c r="A3" s="1" t="s">
        <v>4</v>
      </c>
      <c r="B3" s="1">
        <v>20002</v>
      </c>
      <c r="C3" s="1" t="s">
        <v>5</v>
      </c>
      <c r="D3" s="20">
        <v>0</v>
      </c>
      <c r="E3" s="1" t="s">
        <v>6</v>
      </c>
      <c r="F3" s="20">
        <v>0.99998842592592596</v>
      </c>
      <c r="G3" s="1">
        <v>2.7</v>
      </c>
      <c r="H3" s="1">
        <v>3.6</v>
      </c>
      <c r="I3" s="1">
        <v>4.2</v>
      </c>
      <c r="J3" s="1">
        <v>-1</v>
      </c>
      <c r="K3" s="1">
        <v>-1</v>
      </c>
      <c r="L3" s="1">
        <v>-1</v>
      </c>
      <c r="M3" s="1">
        <v>5.3</v>
      </c>
      <c r="N3" s="1">
        <v>7.6</v>
      </c>
      <c r="O3" s="1">
        <v>8.9</v>
      </c>
      <c r="P3" s="1">
        <v>2.7</v>
      </c>
      <c r="Q3" s="1">
        <v>3.6</v>
      </c>
      <c r="R3" s="1">
        <v>4.2</v>
      </c>
      <c r="S3" s="1">
        <v>7.6</v>
      </c>
      <c r="T3" s="1">
        <v>8.9</v>
      </c>
      <c r="U3" s="1">
        <v>3.6</v>
      </c>
      <c r="V3" s="1">
        <v>4.2</v>
      </c>
      <c r="W3" s="1">
        <v>4.2</v>
      </c>
      <c r="X3" s="23">
        <v>45048</v>
      </c>
    </row>
    <row r="4" spans="1:24" x14ac:dyDescent="0.3">
      <c r="A4" s="1" t="s">
        <v>7</v>
      </c>
      <c r="B4" s="1">
        <v>20004</v>
      </c>
      <c r="C4" s="1" t="s">
        <v>5</v>
      </c>
      <c r="D4" s="20">
        <v>0</v>
      </c>
      <c r="E4" s="1" t="s">
        <v>6</v>
      </c>
      <c r="F4" s="20">
        <v>0.99998842592592596</v>
      </c>
      <c r="G4" s="1">
        <v>3.6</v>
      </c>
      <c r="H4" s="1">
        <v>5.4</v>
      </c>
      <c r="I4" s="1">
        <v>5.8</v>
      </c>
      <c r="J4" s="1">
        <v>-1</v>
      </c>
      <c r="K4" s="1">
        <v>-1</v>
      </c>
      <c r="L4" s="1">
        <v>-1</v>
      </c>
      <c r="M4" s="1">
        <v>7.6</v>
      </c>
      <c r="N4" s="1">
        <v>11.1</v>
      </c>
      <c r="O4" s="1">
        <v>12.2</v>
      </c>
      <c r="P4" s="1">
        <v>3.6</v>
      </c>
      <c r="Q4" s="1">
        <v>5.4</v>
      </c>
      <c r="R4" s="1">
        <v>5.8</v>
      </c>
      <c r="S4" s="1">
        <v>11.1</v>
      </c>
      <c r="T4" s="1">
        <v>12.2</v>
      </c>
      <c r="U4" s="1">
        <v>5.4</v>
      </c>
      <c r="V4" s="1">
        <v>5.8</v>
      </c>
      <c r="W4" s="1">
        <v>5.8</v>
      </c>
      <c r="X4" s="23">
        <v>45055</v>
      </c>
    </row>
    <row r="5" spans="1:24" x14ac:dyDescent="0.3">
      <c r="A5" s="1" t="s">
        <v>8</v>
      </c>
      <c r="B5" s="1">
        <v>20006</v>
      </c>
      <c r="C5" s="1" t="s">
        <v>5</v>
      </c>
      <c r="D5" s="20">
        <v>0</v>
      </c>
      <c r="E5" s="1" t="s">
        <v>6</v>
      </c>
      <c r="F5" s="20">
        <v>0.99998842592592596</v>
      </c>
      <c r="G5" s="1">
        <v>4.9000000000000004</v>
      </c>
      <c r="H5" s="1">
        <v>6.6</v>
      </c>
      <c r="I5" s="1">
        <v>8.1</v>
      </c>
      <c r="J5" s="1">
        <v>-1</v>
      </c>
      <c r="K5" s="1">
        <v>-1</v>
      </c>
      <c r="L5" s="1">
        <v>-1</v>
      </c>
      <c r="M5" s="1">
        <v>10</v>
      </c>
      <c r="N5" s="1">
        <v>13.3</v>
      </c>
      <c r="O5" s="1">
        <v>17</v>
      </c>
      <c r="P5" s="1">
        <v>4.9000000000000004</v>
      </c>
      <c r="Q5" s="1">
        <v>6.6</v>
      </c>
      <c r="R5" s="1">
        <v>8.1</v>
      </c>
      <c r="S5" s="1">
        <v>13.3</v>
      </c>
      <c r="T5" s="1">
        <v>17</v>
      </c>
      <c r="U5" s="1">
        <v>6.6</v>
      </c>
      <c r="V5" s="1">
        <v>8.1</v>
      </c>
      <c r="W5" s="1">
        <v>8.1</v>
      </c>
      <c r="X5" s="23">
        <v>45059</v>
      </c>
    </row>
    <row r="6" spans="1:24" x14ac:dyDescent="0.3">
      <c r="A6" s="1" t="s">
        <v>9</v>
      </c>
      <c r="B6" s="1">
        <v>20008</v>
      </c>
      <c r="C6" s="1" t="s">
        <v>5</v>
      </c>
      <c r="D6" s="20">
        <v>0</v>
      </c>
      <c r="E6" s="1" t="s">
        <v>6</v>
      </c>
      <c r="F6" s="20">
        <v>0.99998842592592596</v>
      </c>
      <c r="G6" s="1">
        <v>6.6</v>
      </c>
      <c r="H6" s="1">
        <v>8.8000000000000007</v>
      </c>
      <c r="I6" s="1">
        <v>11</v>
      </c>
      <c r="J6" s="1">
        <v>-1</v>
      </c>
      <c r="K6" s="1">
        <v>-1</v>
      </c>
      <c r="L6" s="1">
        <v>-1</v>
      </c>
      <c r="M6" s="1">
        <v>13.3</v>
      </c>
      <c r="N6" s="1">
        <v>18</v>
      </c>
      <c r="O6" s="1">
        <v>22.5</v>
      </c>
      <c r="P6" s="1">
        <v>6.6</v>
      </c>
      <c r="Q6" s="1">
        <v>8.8000000000000007</v>
      </c>
      <c r="R6" s="1">
        <v>11</v>
      </c>
      <c r="S6" s="1">
        <v>18</v>
      </c>
      <c r="T6" s="1">
        <v>22.5</v>
      </c>
      <c r="U6" s="1">
        <v>8.8000000000000007</v>
      </c>
      <c r="V6" s="1">
        <v>11</v>
      </c>
      <c r="W6" s="1">
        <v>11</v>
      </c>
      <c r="X6" s="23">
        <v>45076</v>
      </c>
    </row>
    <row r="7" spans="1:24" x14ac:dyDescent="0.3">
      <c r="A7" s="1" t="s">
        <v>10</v>
      </c>
      <c r="B7" s="1">
        <v>20010</v>
      </c>
      <c r="C7" s="1" t="s">
        <v>5</v>
      </c>
      <c r="D7" s="20">
        <v>0</v>
      </c>
      <c r="E7" s="1" t="s">
        <v>6</v>
      </c>
      <c r="F7" s="20">
        <v>0.99998842592592596</v>
      </c>
      <c r="G7" s="1">
        <v>7.1</v>
      </c>
      <c r="H7" s="1">
        <v>10.4</v>
      </c>
      <c r="I7" s="1">
        <v>12.8</v>
      </c>
      <c r="J7" s="1">
        <v>-1</v>
      </c>
      <c r="K7" s="1">
        <v>-1</v>
      </c>
      <c r="L7" s="1">
        <v>-1</v>
      </c>
      <c r="M7" s="1">
        <v>14.4</v>
      </c>
      <c r="N7" s="1">
        <v>21.5</v>
      </c>
      <c r="O7" s="1">
        <v>26.1</v>
      </c>
      <c r="P7" s="1">
        <v>7.1</v>
      </c>
      <c r="Q7" s="1">
        <v>10.4</v>
      </c>
      <c r="R7" s="1">
        <v>12.8</v>
      </c>
      <c r="S7" s="1">
        <v>21.5</v>
      </c>
      <c r="T7" s="1">
        <v>26.1</v>
      </c>
      <c r="U7" s="1">
        <v>10.4</v>
      </c>
      <c r="V7" s="1">
        <v>12.8</v>
      </c>
      <c r="W7" s="1">
        <v>12.8</v>
      </c>
      <c r="X7" s="23">
        <v>45057</v>
      </c>
    </row>
    <row r="8" spans="1:24" x14ac:dyDescent="0.3">
      <c r="A8" s="1" t="s">
        <v>11</v>
      </c>
      <c r="B8" s="1">
        <v>20012</v>
      </c>
      <c r="C8" s="1" t="s">
        <v>5</v>
      </c>
      <c r="D8" s="20">
        <v>0</v>
      </c>
      <c r="E8" s="1" t="s">
        <v>6</v>
      </c>
      <c r="F8" s="20">
        <v>0.99998842592592596</v>
      </c>
      <c r="G8" s="1">
        <v>9.4</v>
      </c>
      <c r="H8" s="1">
        <v>13.8</v>
      </c>
      <c r="I8" s="1">
        <v>16.100000000000001</v>
      </c>
      <c r="J8" s="1">
        <v>-1</v>
      </c>
      <c r="K8" s="1">
        <v>-1</v>
      </c>
      <c r="L8" s="1">
        <v>-1</v>
      </c>
      <c r="M8" s="1">
        <v>19.2</v>
      </c>
      <c r="N8" s="1">
        <v>28.3</v>
      </c>
      <c r="O8" s="1">
        <v>32.799999999999997</v>
      </c>
      <c r="P8" s="1">
        <v>9.4</v>
      </c>
      <c r="Q8" s="1">
        <v>13.8</v>
      </c>
      <c r="R8" s="1">
        <v>16.100000000000001</v>
      </c>
      <c r="S8" s="1">
        <v>28.3</v>
      </c>
      <c r="T8" s="1">
        <v>32.799999999999997</v>
      </c>
      <c r="U8" s="1">
        <v>13.8</v>
      </c>
      <c r="V8" s="1">
        <v>16.100000000000001</v>
      </c>
      <c r="W8" s="1">
        <v>16.100000000000001</v>
      </c>
      <c r="X8" s="23">
        <v>45052</v>
      </c>
    </row>
    <row r="9" spans="1:24" x14ac:dyDescent="0.3">
      <c r="A9" s="1" t="s">
        <v>12</v>
      </c>
      <c r="B9" s="1">
        <v>20014</v>
      </c>
      <c r="C9" s="1" t="s">
        <v>5</v>
      </c>
      <c r="D9" s="20">
        <v>0</v>
      </c>
      <c r="E9" s="1" t="s">
        <v>6</v>
      </c>
      <c r="F9" s="20">
        <v>0.99998842592592596</v>
      </c>
      <c r="G9" s="1">
        <v>11.6</v>
      </c>
      <c r="H9" s="1">
        <v>17.3</v>
      </c>
      <c r="I9" s="1">
        <v>21.3</v>
      </c>
      <c r="J9" s="1">
        <v>-1</v>
      </c>
      <c r="K9" s="1">
        <v>-1</v>
      </c>
      <c r="L9" s="1">
        <v>-1</v>
      </c>
      <c r="M9" s="1">
        <v>23.6</v>
      </c>
      <c r="N9" s="1">
        <v>35.200000000000003</v>
      </c>
      <c r="O9" s="1">
        <v>43</v>
      </c>
      <c r="P9" s="1">
        <v>11.6</v>
      </c>
      <c r="Q9" s="1">
        <v>17.3</v>
      </c>
      <c r="R9" s="1">
        <v>21.3</v>
      </c>
      <c r="S9" s="1">
        <v>35.200000000000003</v>
      </c>
      <c r="T9" s="1">
        <v>43</v>
      </c>
      <c r="U9" s="1">
        <v>17.3</v>
      </c>
      <c r="V9" s="1">
        <v>21.3</v>
      </c>
      <c r="W9" s="1">
        <v>21.3</v>
      </c>
      <c r="X9" s="23">
        <v>45098</v>
      </c>
    </row>
    <row r="10" spans="1:24" x14ac:dyDescent="0.3">
      <c r="A10" s="1" t="s">
        <v>13</v>
      </c>
      <c r="B10" s="1">
        <v>20016</v>
      </c>
      <c r="C10" s="1" t="s">
        <v>5</v>
      </c>
      <c r="D10" s="20">
        <v>0</v>
      </c>
      <c r="E10" s="1" t="s">
        <v>6</v>
      </c>
      <c r="F10" s="20">
        <v>0.99998842592592596</v>
      </c>
      <c r="G10" s="1">
        <v>16.100000000000001</v>
      </c>
      <c r="H10" s="1">
        <v>24.1</v>
      </c>
      <c r="I10" s="1">
        <v>29.1</v>
      </c>
      <c r="J10" s="1">
        <v>-1</v>
      </c>
      <c r="K10" s="1">
        <v>-1</v>
      </c>
      <c r="L10" s="1">
        <v>-1</v>
      </c>
      <c r="M10" s="1">
        <v>32.799999999999997</v>
      </c>
      <c r="N10" s="1">
        <v>49</v>
      </c>
      <c r="O10" s="1">
        <v>59</v>
      </c>
      <c r="P10" s="1">
        <v>16.100000000000001</v>
      </c>
      <c r="Q10" s="1">
        <v>24.1</v>
      </c>
      <c r="R10" s="1">
        <v>29.1</v>
      </c>
      <c r="S10" s="1">
        <v>49</v>
      </c>
      <c r="T10" s="1">
        <v>59</v>
      </c>
      <c r="U10" s="1">
        <v>24.1</v>
      </c>
      <c r="V10" s="1">
        <v>29.1</v>
      </c>
      <c r="W10" s="1">
        <v>29.1</v>
      </c>
      <c r="X10" s="23">
        <v>45092</v>
      </c>
    </row>
    <row r="11" spans="1:24" x14ac:dyDescent="0.3">
      <c r="A11" s="1" t="s">
        <v>14</v>
      </c>
      <c r="B11" s="1">
        <v>20018</v>
      </c>
      <c r="C11" s="1" t="s">
        <v>5</v>
      </c>
      <c r="D11" s="20">
        <v>0</v>
      </c>
      <c r="E11" s="1" t="s">
        <v>6</v>
      </c>
      <c r="F11" s="20">
        <v>0.99998842592592596</v>
      </c>
      <c r="G11" s="1">
        <v>18.399999999999999</v>
      </c>
      <c r="H11" s="1">
        <v>27.5</v>
      </c>
      <c r="I11" s="1">
        <v>33.799999999999997</v>
      </c>
      <c r="J11" s="1">
        <v>-1</v>
      </c>
      <c r="K11" s="1">
        <v>-1</v>
      </c>
      <c r="L11" s="1">
        <v>-1</v>
      </c>
      <c r="M11" s="1">
        <v>37.200000000000003</v>
      </c>
      <c r="N11" s="1">
        <v>55.6</v>
      </c>
      <c r="O11" s="1">
        <v>67.900000000000006</v>
      </c>
      <c r="P11" s="1">
        <v>18.399999999999999</v>
      </c>
      <c r="Q11" s="1">
        <v>27.5</v>
      </c>
      <c r="R11" s="1">
        <v>33.799999999999997</v>
      </c>
      <c r="S11" s="1">
        <v>55.6</v>
      </c>
      <c r="T11" s="1">
        <v>67.900000000000006</v>
      </c>
      <c r="U11" s="1">
        <v>27.5</v>
      </c>
      <c r="V11" s="1">
        <v>33.799999999999997</v>
      </c>
      <c r="W11" s="1">
        <v>33.799999999999997</v>
      </c>
      <c r="X11" s="23">
        <v>45104</v>
      </c>
    </row>
    <row r="12" spans="1:24" x14ac:dyDescent="0.3">
      <c r="A12" s="1" t="s">
        <v>15</v>
      </c>
      <c r="B12" s="1">
        <v>20020</v>
      </c>
      <c r="C12" s="1" t="s">
        <v>5</v>
      </c>
      <c r="D12" s="20">
        <v>0</v>
      </c>
      <c r="E12" s="1" t="s">
        <v>6</v>
      </c>
      <c r="F12" s="20">
        <v>0.99998842592592596</v>
      </c>
      <c r="G12" s="1">
        <v>0</v>
      </c>
      <c r="H12" s="1">
        <v>0</v>
      </c>
      <c r="I12" s="1">
        <v>0</v>
      </c>
      <c r="J12" s="1">
        <v>0</v>
      </c>
      <c r="K12" s="1">
        <v>0</v>
      </c>
      <c r="L12" s="1">
        <v>0</v>
      </c>
      <c r="M12" s="1">
        <v>0</v>
      </c>
      <c r="N12" s="1">
        <v>0</v>
      </c>
      <c r="O12" s="1">
        <v>0</v>
      </c>
      <c r="P12" s="1">
        <v>0</v>
      </c>
      <c r="Q12" s="1">
        <v>0</v>
      </c>
      <c r="R12" s="1">
        <v>0</v>
      </c>
      <c r="S12" s="1">
        <v>0</v>
      </c>
      <c r="T12" s="1">
        <v>0</v>
      </c>
      <c r="U12" s="1">
        <v>0</v>
      </c>
      <c r="V12" s="1">
        <v>0</v>
      </c>
      <c r="W12" s="1">
        <v>0</v>
      </c>
      <c r="X12" s="23">
        <v>45116</v>
      </c>
    </row>
    <row r="13" spans="1:24" x14ac:dyDescent="0.3">
      <c r="A13" s="1" t="s">
        <v>16</v>
      </c>
      <c r="B13" s="1">
        <v>20022</v>
      </c>
      <c r="C13" s="1" t="s">
        <v>5</v>
      </c>
      <c r="D13" s="20">
        <v>0</v>
      </c>
      <c r="E13" s="1" t="s">
        <v>6</v>
      </c>
      <c r="F13" s="20">
        <v>0.99998842592592596</v>
      </c>
      <c r="G13" s="1">
        <v>21.9</v>
      </c>
      <c r="H13" s="1">
        <v>32.1</v>
      </c>
      <c r="I13" s="1">
        <v>40.1</v>
      </c>
      <c r="J13" s="1">
        <v>-1</v>
      </c>
      <c r="K13" s="1">
        <v>-1</v>
      </c>
      <c r="L13" s="1">
        <v>-1</v>
      </c>
      <c r="M13" s="1">
        <v>42.3</v>
      </c>
      <c r="N13" s="1">
        <v>61.5</v>
      </c>
      <c r="O13" s="1">
        <v>76.599999999999994</v>
      </c>
      <c r="P13" s="1">
        <v>21.9</v>
      </c>
      <c r="Q13" s="1">
        <v>32.1</v>
      </c>
      <c r="R13" s="1">
        <v>40.1</v>
      </c>
      <c r="S13" s="1">
        <v>61.5</v>
      </c>
      <c r="T13" s="1">
        <v>76.599999999999994</v>
      </c>
      <c r="U13" s="1">
        <v>32.1</v>
      </c>
      <c r="V13" s="1">
        <v>40.1</v>
      </c>
      <c r="W13" s="1">
        <v>40.1</v>
      </c>
      <c r="X13" s="23">
        <v>45110</v>
      </c>
    </row>
    <row r="14" spans="1:24" x14ac:dyDescent="0.3">
      <c r="A14" s="1" t="s">
        <v>17</v>
      </c>
      <c r="B14" s="1">
        <v>20024</v>
      </c>
      <c r="C14" s="1" t="s">
        <v>5</v>
      </c>
      <c r="D14" s="20">
        <v>0</v>
      </c>
      <c r="E14" s="1" t="s">
        <v>6</v>
      </c>
      <c r="F14" s="20">
        <v>0.99998842592592596</v>
      </c>
      <c r="G14" s="1">
        <v>23.5</v>
      </c>
      <c r="H14" s="1">
        <v>34.700000000000003</v>
      </c>
      <c r="I14" s="1">
        <v>42.7</v>
      </c>
      <c r="J14" s="1">
        <v>-1</v>
      </c>
      <c r="K14" s="1">
        <v>-1</v>
      </c>
      <c r="L14" s="1">
        <v>-1</v>
      </c>
      <c r="M14" s="1">
        <v>47.7</v>
      </c>
      <c r="N14" s="1">
        <v>70.8</v>
      </c>
      <c r="O14" s="1">
        <v>86.6</v>
      </c>
      <c r="P14" s="1">
        <v>23.5</v>
      </c>
      <c r="Q14" s="1">
        <v>34.700000000000003</v>
      </c>
      <c r="R14" s="1">
        <v>42.7</v>
      </c>
      <c r="S14" s="1">
        <v>70.8</v>
      </c>
      <c r="T14" s="1">
        <v>86.6</v>
      </c>
      <c r="U14" s="1">
        <v>34.700000000000003</v>
      </c>
      <c r="V14" s="1">
        <v>42.7</v>
      </c>
      <c r="W14" s="1">
        <v>42.7</v>
      </c>
      <c r="X14" s="23">
        <v>45095</v>
      </c>
    </row>
    <row r="15" spans="1:24" x14ac:dyDescent="0.3">
      <c r="A15" s="1" t="s">
        <v>18</v>
      </c>
      <c r="B15" s="1">
        <v>20026</v>
      </c>
      <c r="C15" s="1" t="s">
        <v>5</v>
      </c>
      <c r="D15" s="20">
        <v>0</v>
      </c>
      <c r="E15" s="1" t="s">
        <v>6</v>
      </c>
      <c r="F15" s="20">
        <v>0.99998842592592596</v>
      </c>
      <c r="G15" s="1">
        <v>26.8</v>
      </c>
      <c r="H15" s="1">
        <v>39.299999999999997</v>
      </c>
      <c r="I15" s="1">
        <v>47.9</v>
      </c>
      <c r="J15" s="1">
        <v>-1</v>
      </c>
      <c r="K15" s="1">
        <v>-1</v>
      </c>
      <c r="L15" s="1">
        <v>-1</v>
      </c>
      <c r="M15" s="1">
        <v>54.6</v>
      </c>
      <c r="N15" s="1">
        <v>79.599999999999994</v>
      </c>
      <c r="O15" s="1">
        <v>96.8</v>
      </c>
      <c r="P15" s="1">
        <v>26.8</v>
      </c>
      <c r="Q15" s="1">
        <v>39.299999999999997</v>
      </c>
      <c r="R15" s="1">
        <v>47.9</v>
      </c>
      <c r="S15" s="1">
        <v>79.599999999999994</v>
      </c>
      <c r="T15" s="1">
        <v>96.8</v>
      </c>
      <c r="U15" s="1">
        <v>39.299999999999997</v>
      </c>
      <c r="V15" s="1">
        <v>47.9</v>
      </c>
      <c r="W15" s="1">
        <v>47.9</v>
      </c>
      <c r="X15" s="23">
        <v>45113</v>
      </c>
    </row>
    <row r="16" spans="1:24" x14ac:dyDescent="0.3">
      <c r="A16" s="1" t="s">
        <v>19</v>
      </c>
      <c r="B16" s="1">
        <v>20028</v>
      </c>
      <c r="C16" s="1" t="s">
        <v>5</v>
      </c>
      <c r="D16" s="20">
        <v>0</v>
      </c>
      <c r="E16" s="1" t="s">
        <v>6</v>
      </c>
      <c r="F16" s="20">
        <v>0.99998842592592596</v>
      </c>
      <c r="G16" s="1">
        <v>28</v>
      </c>
      <c r="H16" s="1">
        <v>41</v>
      </c>
      <c r="I16" s="1">
        <v>50.1</v>
      </c>
      <c r="J16" s="1">
        <v>-1</v>
      </c>
      <c r="K16" s="1">
        <v>-1</v>
      </c>
      <c r="L16" s="1">
        <v>-1</v>
      </c>
      <c r="M16" s="1">
        <v>56.7</v>
      </c>
      <c r="N16" s="1">
        <v>83.2</v>
      </c>
      <c r="O16" s="1">
        <v>101.3</v>
      </c>
      <c r="P16" s="1">
        <v>28</v>
      </c>
      <c r="Q16" s="1">
        <v>41</v>
      </c>
      <c r="R16" s="1">
        <v>50.1</v>
      </c>
      <c r="S16" s="1">
        <v>83.2</v>
      </c>
      <c r="T16" s="1">
        <v>101.3</v>
      </c>
      <c r="U16" s="1">
        <v>41</v>
      </c>
      <c r="V16" s="1">
        <v>50.1</v>
      </c>
      <c r="W16" s="1">
        <v>50.1</v>
      </c>
      <c r="X16" s="23">
        <v>45063</v>
      </c>
    </row>
    <row r="17" spans="1:24" x14ac:dyDescent="0.3">
      <c r="A17" s="1" t="s">
        <v>20</v>
      </c>
      <c r="B17" s="1">
        <v>20030</v>
      </c>
      <c r="C17" s="1" t="s">
        <v>5</v>
      </c>
      <c r="D17" s="20">
        <v>0</v>
      </c>
      <c r="E17" s="1" t="s">
        <v>6</v>
      </c>
      <c r="F17" s="20">
        <v>0.99998842592592596</v>
      </c>
      <c r="G17" s="1">
        <v>28.5</v>
      </c>
      <c r="H17" s="1">
        <v>42.3</v>
      </c>
      <c r="I17" s="1">
        <v>52.3</v>
      </c>
      <c r="J17" s="1">
        <v>-1</v>
      </c>
      <c r="K17" s="1">
        <v>-1</v>
      </c>
      <c r="L17" s="1">
        <v>-1</v>
      </c>
      <c r="M17" s="1">
        <v>58.3</v>
      </c>
      <c r="N17" s="1">
        <v>85.4</v>
      </c>
      <c r="O17" s="1">
        <v>106.1</v>
      </c>
      <c r="P17" s="1">
        <v>28.5</v>
      </c>
      <c r="Q17" s="1">
        <v>42.3</v>
      </c>
      <c r="R17" s="1">
        <v>52.3</v>
      </c>
      <c r="S17" s="1">
        <v>85.4</v>
      </c>
      <c r="T17" s="1">
        <v>106.1</v>
      </c>
      <c r="U17" s="1">
        <v>42.3</v>
      </c>
      <c r="V17" s="1">
        <v>52.3</v>
      </c>
      <c r="W17" s="1">
        <v>52.3</v>
      </c>
      <c r="X17" s="23">
        <v>45071</v>
      </c>
    </row>
    <row r="18" spans="1:24" x14ac:dyDescent="0.3">
      <c r="A18" s="1" t="s">
        <v>21</v>
      </c>
      <c r="B18" s="1">
        <v>20032</v>
      </c>
      <c r="C18" s="1" t="s">
        <v>5</v>
      </c>
      <c r="D18" s="20">
        <v>0</v>
      </c>
      <c r="E18" s="1" t="s">
        <v>6</v>
      </c>
      <c r="F18" s="20">
        <v>0.99998842592592596</v>
      </c>
      <c r="G18" s="1">
        <v>29.1</v>
      </c>
      <c r="H18" s="1">
        <v>43.3</v>
      </c>
      <c r="I18" s="1">
        <v>53.7</v>
      </c>
      <c r="J18" s="1">
        <v>-1</v>
      </c>
      <c r="K18" s="1">
        <v>-1</v>
      </c>
      <c r="L18" s="1">
        <v>-1</v>
      </c>
      <c r="M18" s="1">
        <v>59</v>
      </c>
      <c r="N18" s="1">
        <v>87.6</v>
      </c>
      <c r="O18" s="1">
        <v>108.8</v>
      </c>
      <c r="P18" s="1">
        <v>29.1</v>
      </c>
      <c r="Q18" s="1">
        <v>43.3</v>
      </c>
      <c r="R18" s="1">
        <v>53.7</v>
      </c>
      <c r="S18" s="1">
        <v>87.6</v>
      </c>
      <c r="T18" s="1">
        <v>108.8</v>
      </c>
      <c r="U18" s="1">
        <v>43.3</v>
      </c>
      <c r="V18" s="1">
        <v>53.7</v>
      </c>
      <c r="W18" s="1">
        <v>53.7</v>
      </c>
      <c r="X18" s="23">
        <v>45085</v>
      </c>
    </row>
    <row r="19" spans="1:24" x14ac:dyDescent="0.3">
      <c r="A19" s="1" t="s">
        <v>22</v>
      </c>
      <c r="B19" s="1">
        <v>20034</v>
      </c>
      <c r="C19" s="1" t="s">
        <v>5</v>
      </c>
      <c r="D19" s="20">
        <v>0</v>
      </c>
      <c r="E19" s="1" t="s">
        <v>6</v>
      </c>
      <c r="F19" s="20">
        <v>0.99998842592592596</v>
      </c>
      <c r="G19" s="1">
        <v>30.7</v>
      </c>
      <c r="H19" s="1">
        <v>45.5</v>
      </c>
      <c r="I19" s="1">
        <v>57</v>
      </c>
      <c r="J19" s="1">
        <v>-1</v>
      </c>
      <c r="K19" s="1">
        <v>-1</v>
      </c>
      <c r="L19" s="1">
        <v>-1</v>
      </c>
      <c r="M19" s="1">
        <v>62.5</v>
      </c>
      <c r="N19" s="1">
        <v>92.1</v>
      </c>
      <c r="O19" s="1">
        <v>115.1</v>
      </c>
      <c r="P19" s="1">
        <v>30.7</v>
      </c>
      <c r="Q19" s="1">
        <v>45.5</v>
      </c>
      <c r="R19" s="1">
        <v>57</v>
      </c>
      <c r="S19" s="1">
        <v>92.1</v>
      </c>
      <c r="T19" s="1">
        <v>115.1</v>
      </c>
      <c r="U19" s="1">
        <v>45.5</v>
      </c>
      <c r="V19" s="1">
        <v>57</v>
      </c>
      <c r="W19" s="1">
        <v>57</v>
      </c>
      <c r="X19" s="23">
        <v>45099</v>
      </c>
    </row>
    <row r="20" spans="1:24" x14ac:dyDescent="0.3">
      <c r="A20" s="1" t="s">
        <v>23</v>
      </c>
      <c r="B20" s="1">
        <v>20036</v>
      </c>
      <c r="C20" s="1" t="s">
        <v>5</v>
      </c>
      <c r="D20" s="20">
        <v>0</v>
      </c>
      <c r="E20" s="1" t="s">
        <v>6</v>
      </c>
      <c r="F20" s="20">
        <v>0.99998842592592596</v>
      </c>
      <c r="G20" s="1">
        <v>33.799999999999997</v>
      </c>
      <c r="H20" s="1">
        <v>50.1</v>
      </c>
      <c r="I20" s="1">
        <v>61.4</v>
      </c>
      <c r="J20" s="1">
        <v>-1</v>
      </c>
      <c r="K20" s="1">
        <v>-1</v>
      </c>
      <c r="L20" s="1">
        <v>-1</v>
      </c>
      <c r="M20" s="1">
        <v>67.900000000000006</v>
      </c>
      <c r="N20" s="1">
        <v>101.3</v>
      </c>
      <c r="O20" s="1">
        <v>124.4</v>
      </c>
      <c r="P20" s="1">
        <v>33.799999999999997</v>
      </c>
      <c r="Q20" s="1">
        <v>50.1</v>
      </c>
      <c r="R20" s="1">
        <v>61.4</v>
      </c>
      <c r="S20" s="1">
        <v>101.3</v>
      </c>
      <c r="T20" s="1">
        <v>124.4</v>
      </c>
      <c r="U20" s="1">
        <v>50.1</v>
      </c>
      <c r="V20" s="1">
        <v>61.4</v>
      </c>
      <c r="W20" s="1">
        <v>61.4</v>
      </c>
      <c r="X20" s="23">
        <v>45091</v>
      </c>
    </row>
    <row r="21" spans="1:24" x14ac:dyDescent="0.3">
      <c r="A21" s="1" t="s">
        <v>24</v>
      </c>
      <c r="B21" s="1">
        <v>20038</v>
      </c>
      <c r="C21" s="1" t="s">
        <v>5</v>
      </c>
      <c r="D21" s="20">
        <v>0</v>
      </c>
      <c r="E21" s="1" t="s">
        <v>6</v>
      </c>
      <c r="F21" s="20">
        <v>0.99998842592592596</v>
      </c>
      <c r="G21" s="1">
        <v>34.700000000000003</v>
      </c>
      <c r="H21" s="1">
        <v>52.3</v>
      </c>
      <c r="I21" s="1">
        <v>63.6</v>
      </c>
      <c r="J21" s="1">
        <v>-1</v>
      </c>
      <c r="K21" s="1">
        <v>-1</v>
      </c>
      <c r="L21" s="1">
        <v>-1</v>
      </c>
      <c r="M21" s="1">
        <v>70.8</v>
      </c>
      <c r="N21" s="1">
        <v>106.1</v>
      </c>
      <c r="O21" s="1">
        <v>128.6</v>
      </c>
      <c r="P21" s="1">
        <v>34.700000000000003</v>
      </c>
      <c r="Q21" s="1">
        <v>52.3</v>
      </c>
      <c r="R21" s="1">
        <v>63.6</v>
      </c>
      <c r="S21" s="1">
        <v>106.1</v>
      </c>
      <c r="T21" s="1">
        <v>128.6</v>
      </c>
      <c r="U21" s="1">
        <v>52.3</v>
      </c>
      <c r="V21" s="1">
        <v>63.6</v>
      </c>
      <c r="W21" s="1">
        <v>63.6</v>
      </c>
      <c r="X21" s="23">
        <v>45079</v>
      </c>
    </row>
    <row r="22" spans="1:24" x14ac:dyDescent="0.3">
      <c r="A22" s="1" t="s">
        <v>25</v>
      </c>
      <c r="B22" s="1">
        <v>20040</v>
      </c>
      <c r="C22" s="1" t="s">
        <v>5</v>
      </c>
      <c r="D22" s="20">
        <v>0</v>
      </c>
      <c r="E22" s="1" t="s">
        <v>6</v>
      </c>
      <c r="F22" s="20">
        <v>0.99998842592592596</v>
      </c>
      <c r="G22" s="1">
        <v>36.5</v>
      </c>
      <c r="H22" s="1">
        <v>54.6</v>
      </c>
      <c r="I22" s="1">
        <v>65.900000000000006</v>
      </c>
      <c r="J22" s="1">
        <v>-1</v>
      </c>
      <c r="K22" s="1">
        <v>-1</v>
      </c>
      <c r="L22" s="1">
        <v>-1</v>
      </c>
      <c r="M22" s="1">
        <v>73.900000000000006</v>
      </c>
      <c r="N22" s="1">
        <v>110.3</v>
      </c>
      <c r="O22" s="1">
        <v>133.4</v>
      </c>
      <c r="P22" s="1">
        <v>36.5</v>
      </c>
      <c r="Q22" s="1">
        <v>54.6</v>
      </c>
      <c r="R22" s="1">
        <v>65.900000000000006</v>
      </c>
      <c r="S22" s="1">
        <v>110.3</v>
      </c>
      <c r="T22" s="1">
        <v>133.4</v>
      </c>
      <c r="U22" s="1">
        <v>54.6</v>
      </c>
      <c r="V22" s="1">
        <v>65.900000000000006</v>
      </c>
      <c r="W22" s="1">
        <v>65.900000000000006</v>
      </c>
      <c r="X22" s="23">
        <v>45075</v>
      </c>
    </row>
    <row r="23" spans="1:24" x14ac:dyDescent="0.3">
      <c r="A23" s="1" t="s">
        <v>41</v>
      </c>
      <c r="B23" s="1">
        <v>20042</v>
      </c>
      <c r="C23" s="1" t="s">
        <v>5</v>
      </c>
      <c r="D23" s="20">
        <v>0</v>
      </c>
      <c r="E23" s="1" t="s">
        <v>6</v>
      </c>
      <c r="F23" s="20">
        <v>0.99998842592592596</v>
      </c>
      <c r="G23" s="1">
        <v>38</v>
      </c>
      <c r="H23" s="1">
        <v>57.2</v>
      </c>
      <c r="I23" s="1">
        <v>68.7</v>
      </c>
      <c r="J23" s="1">
        <v>-1</v>
      </c>
      <c r="K23" s="1">
        <v>-1</v>
      </c>
      <c r="L23" s="1">
        <v>-1</v>
      </c>
      <c r="M23" s="1">
        <v>76.599999999999994</v>
      </c>
      <c r="N23" s="1">
        <v>115.5</v>
      </c>
      <c r="O23" s="1">
        <v>138.80000000000001</v>
      </c>
      <c r="P23" s="1">
        <v>38</v>
      </c>
      <c r="Q23" s="1">
        <v>57.2</v>
      </c>
      <c r="R23" s="1">
        <v>68.7</v>
      </c>
      <c r="S23" s="1">
        <v>115.5</v>
      </c>
      <c r="T23" s="1">
        <v>138.80000000000001</v>
      </c>
      <c r="U23" s="1">
        <v>57.2</v>
      </c>
      <c r="V23" s="1">
        <v>68.7</v>
      </c>
      <c r="W23" s="1">
        <v>68.7</v>
      </c>
      <c r="X23" s="23">
        <v>45110</v>
      </c>
    </row>
    <row r="24" spans="1:24" x14ac:dyDescent="0.3">
      <c r="A24" s="1" t="s">
        <v>26</v>
      </c>
      <c r="B24" s="1">
        <v>20044</v>
      </c>
      <c r="C24" s="1" t="s">
        <v>5</v>
      </c>
      <c r="D24" s="20">
        <v>0</v>
      </c>
      <c r="E24" s="1" t="s">
        <v>6</v>
      </c>
      <c r="F24" s="20">
        <v>0.99998842592592596</v>
      </c>
      <c r="G24" s="1">
        <v>38.700000000000003</v>
      </c>
      <c r="H24" s="1">
        <v>59.2</v>
      </c>
      <c r="I24" s="1">
        <v>70.400000000000006</v>
      </c>
      <c r="J24" s="1">
        <v>-1</v>
      </c>
      <c r="K24" s="1">
        <v>-1</v>
      </c>
      <c r="L24" s="1">
        <v>-1</v>
      </c>
      <c r="M24" s="1">
        <v>78.599999999999994</v>
      </c>
      <c r="N24" s="1">
        <v>119.4</v>
      </c>
      <c r="O24" s="1">
        <v>142.5</v>
      </c>
      <c r="P24" s="1">
        <v>38.700000000000003</v>
      </c>
      <c r="Q24" s="1">
        <v>59.2</v>
      </c>
      <c r="R24" s="1">
        <v>70.400000000000006</v>
      </c>
      <c r="S24" s="1">
        <v>119.4</v>
      </c>
      <c r="T24" s="1">
        <v>142.5</v>
      </c>
      <c r="U24" s="1">
        <v>59.2</v>
      </c>
      <c r="V24" s="1">
        <v>70.400000000000006</v>
      </c>
      <c r="W24" s="1">
        <v>70.400000000000006</v>
      </c>
      <c r="X24" s="23">
        <v>45114</v>
      </c>
    </row>
    <row r="25" spans="1:24" x14ac:dyDescent="0.3">
      <c r="A25" s="1" t="s">
        <v>27</v>
      </c>
      <c r="B25" s="1">
        <v>20046</v>
      </c>
      <c r="C25" s="1" t="s">
        <v>5</v>
      </c>
      <c r="D25" s="20">
        <v>0</v>
      </c>
      <c r="E25" s="1" t="s">
        <v>6</v>
      </c>
      <c r="F25" s="20">
        <v>0.99998842592592596</v>
      </c>
      <c r="G25" s="1">
        <v>40.1</v>
      </c>
      <c r="H25" s="1">
        <v>59.2</v>
      </c>
      <c r="I25" s="1">
        <v>72.8</v>
      </c>
      <c r="J25" s="1">
        <v>-1</v>
      </c>
      <c r="K25" s="1">
        <v>-1</v>
      </c>
      <c r="L25" s="1">
        <v>-1</v>
      </c>
      <c r="M25" s="1">
        <v>80.8</v>
      </c>
      <c r="N25" s="1">
        <v>119.4</v>
      </c>
      <c r="O25" s="1">
        <v>146.80000000000001</v>
      </c>
      <c r="P25" s="1">
        <v>40.1</v>
      </c>
      <c r="Q25" s="1">
        <v>59.2</v>
      </c>
      <c r="R25" s="1">
        <v>72.8</v>
      </c>
      <c r="S25" s="1">
        <v>119.4</v>
      </c>
      <c r="T25" s="1">
        <v>146.80000000000001</v>
      </c>
      <c r="U25" s="1">
        <v>59.2</v>
      </c>
      <c r="V25" s="1">
        <v>72.8</v>
      </c>
      <c r="W25" s="1">
        <v>72.8</v>
      </c>
      <c r="X25" s="23">
        <v>45118</v>
      </c>
    </row>
    <row r="26" spans="1:24" x14ac:dyDescent="0.3">
      <c r="A26" s="1" t="s">
        <v>28</v>
      </c>
      <c r="B26" s="1">
        <v>20048</v>
      </c>
      <c r="C26" s="1" t="s">
        <v>5</v>
      </c>
      <c r="D26" s="20">
        <v>0</v>
      </c>
      <c r="E26" s="1" t="s">
        <v>6</v>
      </c>
      <c r="F26" s="20">
        <v>0.99998842592592596</v>
      </c>
      <c r="G26" s="1">
        <v>0</v>
      </c>
      <c r="H26" s="1">
        <v>0</v>
      </c>
      <c r="I26" s="1">
        <v>0</v>
      </c>
      <c r="J26" s="1">
        <v>0</v>
      </c>
      <c r="K26" s="1">
        <v>0</v>
      </c>
      <c r="L26" s="1">
        <v>0</v>
      </c>
      <c r="M26" s="1">
        <v>0</v>
      </c>
      <c r="N26" s="1">
        <v>0</v>
      </c>
      <c r="O26" s="1">
        <v>0</v>
      </c>
      <c r="P26" s="1">
        <v>0</v>
      </c>
      <c r="Q26" s="1">
        <v>0</v>
      </c>
      <c r="R26" s="1">
        <v>0</v>
      </c>
      <c r="S26" s="1">
        <v>0</v>
      </c>
      <c r="T26" s="1">
        <v>0</v>
      </c>
      <c r="U26" s="1">
        <v>0</v>
      </c>
      <c r="V26" s="1">
        <v>0</v>
      </c>
      <c r="W26" s="1">
        <v>0</v>
      </c>
      <c r="X26" s="23">
        <v>45142</v>
      </c>
    </row>
    <row r="27" spans="1:24" x14ac:dyDescent="0.3">
      <c r="A27" s="1" t="s">
        <v>57</v>
      </c>
      <c r="B27" s="1">
        <v>20050</v>
      </c>
      <c r="C27" s="1" t="s">
        <v>5</v>
      </c>
      <c r="D27" s="20">
        <v>0</v>
      </c>
      <c r="E27" s="1" t="s">
        <v>6</v>
      </c>
      <c r="F27" s="20">
        <v>0.99998842592592596</v>
      </c>
      <c r="G27" s="1">
        <v>41.3</v>
      </c>
      <c r="H27" s="1">
        <v>61.4</v>
      </c>
      <c r="I27" s="1">
        <v>75</v>
      </c>
      <c r="J27" s="1">
        <v>-1</v>
      </c>
      <c r="K27" s="1">
        <v>-1</v>
      </c>
      <c r="L27" s="1">
        <v>-1</v>
      </c>
      <c r="M27" s="1">
        <v>83.5</v>
      </c>
      <c r="N27" s="1">
        <v>124.4</v>
      </c>
      <c r="O27" s="1">
        <v>151.5</v>
      </c>
      <c r="P27" s="1">
        <v>41.3</v>
      </c>
      <c r="Q27" s="1">
        <v>61.4</v>
      </c>
      <c r="R27" s="1">
        <v>75</v>
      </c>
      <c r="S27" s="1">
        <v>124.4</v>
      </c>
      <c r="T27" s="1">
        <v>151.5</v>
      </c>
      <c r="U27" s="1">
        <v>61.4</v>
      </c>
      <c r="V27" s="1">
        <v>75</v>
      </c>
      <c r="W27" s="1">
        <v>75</v>
      </c>
      <c r="X27" s="23">
        <v>45146</v>
      </c>
    </row>
    <row r="28" spans="1:24" x14ac:dyDescent="0.3">
      <c r="A28" s="1" t="s">
        <v>29</v>
      </c>
      <c r="B28" s="1">
        <v>20052</v>
      </c>
      <c r="C28" s="1" t="s">
        <v>5</v>
      </c>
      <c r="D28" s="20">
        <v>0</v>
      </c>
      <c r="E28" s="1" t="s">
        <v>6</v>
      </c>
      <c r="F28" s="20">
        <v>0.99998842592592596</v>
      </c>
      <c r="G28" s="1">
        <v>42.3</v>
      </c>
      <c r="H28" s="1">
        <v>61.4</v>
      </c>
      <c r="I28" s="1">
        <v>75</v>
      </c>
      <c r="J28" s="1">
        <v>-1</v>
      </c>
      <c r="K28" s="1">
        <v>-1</v>
      </c>
      <c r="L28" s="1">
        <v>-1</v>
      </c>
      <c r="M28" s="1">
        <v>85.4</v>
      </c>
      <c r="N28" s="1">
        <v>124.4</v>
      </c>
      <c r="O28" s="1">
        <v>151.5</v>
      </c>
      <c r="P28" s="1">
        <v>42.3</v>
      </c>
      <c r="Q28" s="1">
        <v>61.4</v>
      </c>
      <c r="R28" s="1">
        <v>75</v>
      </c>
      <c r="S28" s="1">
        <v>124.4</v>
      </c>
      <c r="T28" s="1">
        <v>151.5</v>
      </c>
      <c r="U28" s="1">
        <v>61.4</v>
      </c>
      <c r="V28" s="1">
        <v>75</v>
      </c>
      <c r="W28" s="1">
        <v>75</v>
      </c>
      <c r="X28" s="23">
        <v>45108</v>
      </c>
    </row>
    <row r="29" spans="1:24" x14ac:dyDescent="0.3">
      <c r="A29" s="1" t="s">
        <v>30</v>
      </c>
      <c r="B29" s="1">
        <v>20054</v>
      </c>
      <c r="C29" s="1" t="s">
        <v>5</v>
      </c>
      <c r="D29" s="20">
        <v>0</v>
      </c>
      <c r="E29" s="1" t="s">
        <v>6</v>
      </c>
      <c r="F29" s="20">
        <v>0.99998842592592596</v>
      </c>
      <c r="G29" s="1">
        <v>43.3</v>
      </c>
      <c r="H29" s="1">
        <v>63.6</v>
      </c>
      <c r="I29" s="1">
        <v>77.2</v>
      </c>
      <c r="J29" s="1">
        <v>-1</v>
      </c>
      <c r="K29" s="1">
        <v>-1</v>
      </c>
      <c r="L29" s="1">
        <v>-1</v>
      </c>
      <c r="M29" s="1">
        <v>87.6</v>
      </c>
      <c r="N29" s="1">
        <v>128.6</v>
      </c>
      <c r="O29" s="1">
        <v>156.4</v>
      </c>
      <c r="P29" s="1">
        <v>43.3</v>
      </c>
      <c r="Q29" s="1">
        <v>63.6</v>
      </c>
      <c r="R29" s="1">
        <v>77.2</v>
      </c>
      <c r="S29" s="1">
        <v>128.6</v>
      </c>
      <c r="T29" s="1">
        <v>156.4</v>
      </c>
      <c r="U29" s="1">
        <v>63.6</v>
      </c>
      <c r="V29" s="1">
        <v>77.2</v>
      </c>
      <c r="W29" s="1">
        <v>77.2</v>
      </c>
      <c r="X29" s="23">
        <v>45153</v>
      </c>
    </row>
    <row r="30" spans="1:24" x14ac:dyDescent="0.3">
      <c r="A30" s="1" t="s">
        <v>58</v>
      </c>
      <c r="B30" s="1">
        <v>20058</v>
      </c>
      <c r="C30" s="1" t="s">
        <v>5</v>
      </c>
      <c r="D30" s="20">
        <v>0</v>
      </c>
      <c r="E30" s="1" t="s">
        <v>6</v>
      </c>
      <c r="F30" s="20">
        <v>0.99998842592592596</v>
      </c>
      <c r="G30" s="1">
        <v>-1</v>
      </c>
      <c r="H30" s="1">
        <v>-1</v>
      </c>
      <c r="I30" s="1">
        <v>-1</v>
      </c>
      <c r="J30" s="1">
        <v>-1</v>
      </c>
      <c r="K30" s="1">
        <v>-1</v>
      </c>
      <c r="L30" s="1">
        <v>-1</v>
      </c>
      <c r="M30" s="1">
        <v>-1</v>
      </c>
      <c r="N30" s="1">
        <v>-1</v>
      </c>
      <c r="O30" s="1">
        <v>-1</v>
      </c>
      <c r="P30" s="1">
        <v>-1</v>
      </c>
      <c r="Q30" s="1">
        <v>-1</v>
      </c>
      <c r="R30" s="1">
        <v>-1</v>
      </c>
      <c r="S30" s="1">
        <v>-1</v>
      </c>
      <c r="T30" s="1">
        <v>-1</v>
      </c>
      <c r="U30" s="1">
        <v>-1</v>
      </c>
      <c r="V30" s="1">
        <v>-1</v>
      </c>
      <c r="W30" s="1">
        <v>-1</v>
      </c>
      <c r="X30" s="23">
        <v>45150</v>
      </c>
    </row>
    <row r="31" spans="1:24" x14ac:dyDescent="0.3">
      <c r="A31" s="1" t="s">
        <v>31</v>
      </c>
      <c r="B31" s="1">
        <v>20060</v>
      </c>
      <c r="C31" s="1" t="s">
        <v>5</v>
      </c>
      <c r="D31" s="20">
        <v>0</v>
      </c>
      <c r="E31" s="1" t="s">
        <v>6</v>
      </c>
      <c r="F31" s="20">
        <v>0.99998842592592596</v>
      </c>
      <c r="G31" s="1">
        <v>45</v>
      </c>
      <c r="H31" s="1">
        <v>65.900000000000006</v>
      </c>
      <c r="I31" s="1">
        <v>79.400000000000006</v>
      </c>
      <c r="J31" s="1">
        <v>-1</v>
      </c>
      <c r="K31" s="1">
        <v>-1</v>
      </c>
      <c r="L31" s="1">
        <v>-1</v>
      </c>
      <c r="M31" s="1">
        <v>90.9</v>
      </c>
      <c r="N31" s="1">
        <v>133.4</v>
      </c>
      <c r="O31" s="1">
        <v>160.9</v>
      </c>
      <c r="P31" s="1">
        <v>45</v>
      </c>
      <c r="Q31" s="1">
        <v>65.900000000000006</v>
      </c>
      <c r="R31" s="1">
        <v>79.400000000000006</v>
      </c>
      <c r="S31" s="1">
        <v>133.4</v>
      </c>
      <c r="T31" s="1">
        <v>160.9</v>
      </c>
      <c r="U31" s="1">
        <v>65.900000000000006</v>
      </c>
      <c r="V31" s="1">
        <v>79.400000000000006</v>
      </c>
      <c r="W31" s="1">
        <v>79.400000000000006</v>
      </c>
      <c r="X31" s="23">
        <v>45157</v>
      </c>
    </row>
    <row r="32" spans="1:24" x14ac:dyDescent="0.3">
      <c r="A32" s="1" t="s">
        <v>32</v>
      </c>
      <c r="B32" s="1">
        <v>21000</v>
      </c>
      <c r="C32" s="1" t="s">
        <v>5</v>
      </c>
      <c r="D32" s="20">
        <v>0</v>
      </c>
      <c r="E32" s="1" t="s">
        <v>6</v>
      </c>
      <c r="F32" s="20">
        <v>0.99998842592592596</v>
      </c>
      <c r="G32" s="1">
        <v>-1</v>
      </c>
      <c r="H32" s="1">
        <v>-1</v>
      </c>
      <c r="I32" s="1">
        <v>-1</v>
      </c>
      <c r="J32" s="1">
        <v>-1</v>
      </c>
      <c r="K32" s="1">
        <v>-1</v>
      </c>
      <c r="L32" s="1">
        <v>-1</v>
      </c>
      <c r="M32" s="1">
        <v>-1</v>
      </c>
      <c r="N32" s="1">
        <v>-1</v>
      </c>
      <c r="O32" s="1">
        <v>-1</v>
      </c>
      <c r="P32" s="1">
        <v>-1</v>
      </c>
      <c r="Q32" s="1">
        <v>-1</v>
      </c>
      <c r="R32" s="1">
        <v>-1</v>
      </c>
      <c r="S32" s="1">
        <v>-1</v>
      </c>
      <c r="T32" s="1">
        <v>-1</v>
      </c>
      <c r="U32" s="1">
        <v>-1</v>
      </c>
      <c r="V32" s="1">
        <v>-1</v>
      </c>
      <c r="W32" s="1">
        <v>-1</v>
      </c>
      <c r="X32" s="23">
        <v>45143</v>
      </c>
    </row>
    <row r="33" spans="1:24" x14ac:dyDescent="0.3">
      <c r="A33" s="1" t="s">
        <v>33</v>
      </c>
      <c r="B33" s="1">
        <v>21002</v>
      </c>
      <c r="C33" s="1" t="s">
        <v>5</v>
      </c>
      <c r="D33" s="20">
        <v>0</v>
      </c>
      <c r="E33" s="1" t="s">
        <v>6</v>
      </c>
      <c r="F33" s="20">
        <v>0.99998842592592596</v>
      </c>
      <c r="G33" s="1">
        <v>41.5</v>
      </c>
      <c r="H33" s="1">
        <v>61.4</v>
      </c>
      <c r="I33" s="1">
        <v>75</v>
      </c>
      <c r="J33" s="1">
        <v>-1</v>
      </c>
      <c r="K33" s="1">
        <v>-1</v>
      </c>
      <c r="L33" s="1">
        <v>-1</v>
      </c>
      <c r="M33" s="1">
        <v>84.6</v>
      </c>
      <c r="N33" s="1">
        <v>124.4</v>
      </c>
      <c r="O33" s="1">
        <v>151.5</v>
      </c>
      <c r="P33" s="1">
        <v>41.5</v>
      </c>
      <c r="Q33" s="1">
        <v>61.4</v>
      </c>
      <c r="R33" s="1">
        <v>75</v>
      </c>
      <c r="S33" s="1">
        <v>124.4</v>
      </c>
      <c r="T33" s="1">
        <v>151.5</v>
      </c>
      <c r="U33" s="1">
        <v>61.4</v>
      </c>
      <c r="V33" s="1">
        <v>75</v>
      </c>
      <c r="W33" s="1">
        <v>75</v>
      </c>
      <c r="X33" s="23">
        <v>45166</v>
      </c>
    </row>
    <row r="34" spans="1:24" x14ac:dyDescent="0.3">
      <c r="A34" s="1" t="s">
        <v>34</v>
      </c>
      <c r="B34" s="1">
        <v>21004</v>
      </c>
      <c r="C34" s="1" t="s">
        <v>5</v>
      </c>
      <c r="D34" s="20">
        <v>0</v>
      </c>
      <c r="E34" s="1" t="s">
        <v>6</v>
      </c>
      <c r="F34" s="20">
        <v>0.99998842592592596</v>
      </c>
      <c r="G34" s="1">
        <v>43.3</v>
      </c>
      <c r="H34" s="1">
        <v>63.6</v>
      </c>
      <c r="I34" s="1">
        <v>79.400000000000006</v>
      </c>
      <c r="J34" s="1">
        <v>-1</v>
      </c>
      <c r="K34" s="1">
        <v>-1</v>
      </c>
      <c r="L34" s="1">
        <v>-1</v>
      </c>
      <c r="M34" s="1">
        <v>87.6</v>
      </c>
      <c r="N34" s="1">
        <v>128.6</v>
      </c>
      <c r="O34" s="1">
        <v>160.9</v>
      </c>
      <c r="P34" s="1">
        <v>43.3</v>
      </c>
      <c r="Q34" s="1">
        <v>63.6</v>
      </c>
      <c r="R34" s="1">
        <v>79.400000000000006</v>
      </c>
      <c r="S34" s="1">
        <v>128.6</v>
      </c>
      <c r="T34" s="1">
        <v>160.9</v>
      </c>
      <c r="U34" s="1">
        <v>63.6</v>
      </c>
      <c r="V34" s="1">
        <v>79.400000000000006</v>
      </c>
      <c r="W34" s="1">
        <v>79.400000000000006</v>
      </c>
      <c r="X34" s="23">
        <v>45162</v>
      </c>
    </row>
    <row r="35" spans="1:24" x14ac:dyDescent="0.3">
      <c r="A35" s="1" t="s">
        <v>35</v>
      </c>
      <c r="B35" s="1">
        <v>21006</v>
      </c>
      <c r="C35" s="1" t="s">
        <v>5</v>
      </c>
      <c r="D35" s="20">
        <v>0</v>
      </c>
      <c r="E35" s="1" t="s">
        <v>6</v>
      </c>
      <c r="F35" s="20">
        <v>0.99998842592592596</v>
      </c>
      <c r="G35" s="1">
        <v>44.5</v>
      </c>
      <c r="H35" s="1">
        <v>65.900000000000006</v>
      </c>
      <c r="I35" s="1">
        <v>81.8</v>
      </c>
      <c r="J35" s="1">
        <v>-1</v>
      </c>
      <c r="K35" s="1">
        <v>-1</v>
      </c>
      <c r="L35" s="1">
        <v>-1</v>
      </c>
      <c r="M35" s="1">
        <v>89.9</v>
      </c>
      <c r="N35" s="1">
        <v>133.4</v>
      </c>
      <c r="O35" s="1">
        <v>165.3</v>
      </c>
      <c r="P35" s="1">
        <v>44.5</v>
      </c>
      <c r="Q35" s="1">
        <v>65.900000000000006</v>
      </c>
      <c r="R35" s="1">
        <v>81.8</v>
      </c>
      <c r="S35" s="1">
        <v>133.4</v>
      </c>
      <c r="T35" s="1">
        <v>165.3</v>
      </c>
      <c r="U35" s="1">
        <v>65.900000000000006</v>
      </c>
      <c r="V35" s="1">
        <v>81.8</v>
      </c>
      <c r="W35" s="1">
        <v>81.8</v>
      </c>
      <c r="X35" s="23">
        <v>45160</v>
      </c>
    </row>
    <row r="36" spans="1:24" x14ac:dyDescent="0.3">
      <c r="A36" s="1" t="s">
        <v>36</v>
      </c>
      <c r="B36" s="1">
        <v>21008</v>
      </c>
      <c r="C36" s="1" t="s">
        <v>5</v>
      </c>
      <c r="D36" s="20">
        <v>0</v>
      </c>
      <c r="E36" s="1" t="s">
        <v>6</v>
      </c>
      <c r="F36" s="20">
        <v>0.99998842592592596</v>
      </c>
      <c r="G36" s="1">
        <v>47.3</v>
      </c>
      <c r="H36" s="1">
        <v>70.400000000000006</v>
      </c>
      <c r="I36" s="1">
        <v>86.4</v>
      </c>
      <c r="J36" s="1">
        <v>-1</v>
      </c>
      <c r="K36" s="1">
        <v>-1</v>
      </c>
      <c r="L36" s="1">
        <v>-1</v>
      </c>
      <c r="M36" s="1">
        <v>95.6</v>
      </c>
      <c r="N36" s="1">
        <v>142.5</v>
      </c>
      <c r="O36" s="1">
        <v>174.2</v>
      </c>
      <c r="P36" s="1">
        <v>47.3</v>
      </c>
      <c r="Q36" s="1">
        <v>70.400000000000006</v>
      </c>
      <c r="R36" s="1">
        <v>86.4</v>
      </c>
      <c r="S36" s="1">
        <v>142.5</v>
      </c>
      <c r="T36" s="1">
        <v>174.2</v>
      </c>
      <c r="U36" s="1">
        <v>70.400000000000006</v>
      </c>
      <c r="V36" s="1">
        <v>86.4</v>
      </c>
      <c r="W36" s="1">
        <v>86.4</v>
      </c>
      <c r="X36" s="23">
        <v>45179</v>
      </c>
    </row>
    <row r="37" spans="1:24" x14ac:dyDescent="0.3">
      <c r="A37" s="1" t="s">
        <v>42</v>
      </c>
      <c r="B37" s="1">
        <v>21010</v>
      </c>
      <c r="C37" s="1" t="s">
        <v>5</v>
      </c>
      <c r="D37" s="20">
        <v>0</v>
      </c>
      <c r="E37" s="1" t="s">
        <v>6</v>
      </c>
      <c r="F37" s="20">
        <v>0.99998842592592596</v>
      </c>
      <c r="G37" s="1">
        <v>48.3</v>
      </c>
      <c r="H37" s="1">
        <v>72</v>
      </c>
      <c r="I37" s="1">
        <v>89</v>
      </c>
      <c r="J37" s="1">
        <v>-1</v>
      </c>
      <c r="K37" s="1">
        <v>-1</v>
      </c>
      <c r="L37" s="1">
        <v>-1</v>
      </c>
      <c r="M37" s="1">
        <v>97.9</v>
      </c>
      <c r="N37" s="1">
        <v>145.5</v>
      </c>
      <c r="O37" s="1">
        <v>179.8</v>
      </c>
      <c r="P37" s="1">
        <v>48.3</v>
      </c>
      <c r="Q37" s="1">
        <v>72</v>
      </c>
      <c r="R37" s="1">
        <v>89</v>
      </c>
      <c r="S37" s="1">
        <v>145.5</v>
      </c>
      <c r="T37" s="1">
        <v>179.8</v>
      </c>
      <c r="U37" s="1">
        <v>72</v>
      </c>
      <c r="V37" s="1">
        <v>89</v>
      </c>
      <c r="W37" s="1">
        <v>89</v>
      </c>
      <c r="X37" s="23">
        <v>45157</v>
      </c>
    </row>
    <row r="38" spans="1:24" x14ac:dyDescent="0.3">
      <c r="A38" s="1" t="s">
        <v>37</v>
      </c>
      <c r="B38" s="1">
        <v>21012</v>
      </c>
      <c r="C38" s="1" t="s">
        <v>5</v>
      </c>
      <c r="D38" s="20">
        <v>0</v>
      </c>
      <c r="E38" s="1" t="s">
        <v>6</v>
      </c>
      <c r="F38" s="20">
        <v>0.99998842592592596</v>
      </c>
      <c r="G38" s="1">
        <v>49.1</v>
      </c>
      <c r="H38" s="1">
        <v>72.8</v>
      </c>
      <c r="I38" s="1">
        <v>90.9</v>
      </c>
      <c r="J38" s="1">
        <v>-1</v>
      </c>
      <c r="K38" s="1">
        <v>-1</v>
      </c>
      <c r="L38" s="1">
        <v>-1</v>
      </c>
      <c r="M38" s="1">
        <v>99.5</v>
      </c>
      <c r="N38" s="1">
        <v>146.80000000000001</v>
      </c>
      <c r="O38" s="1">
        <v>183.5</v>
      </c>
      <c r="P38" s="1">
        <v>49.1</v>
      </c>
      <c r="Q38" s="1">
        <v>72.8</v>
      </c>
      <c r="R38" s="1">
        <v>90.9</v>
      </c>
      <c r="S38" s="1">
        <v>146.80000000000001</v>
      </c>
      <c r="T38" s="1">
        <v>183.5</v>
      </c>
      <c r="U38" s="1">
        <v>72.8</v>
      </c>
      <c r="V38" s="1">
        <v>90.9</v>
      </c>
      <c r="W38" s="1">
        <v>90.9</v>
      </c>
      <c r="X38" s="23">
        <v>45143</v>
      </c>
    </row>
    <row r="39" spans="1:24" x14ac:dyDescent="0.3">
      <c r="A39" s="1" t="s">
        <v>38</v>
      </c>
      <c r="B39" s="1">
        <v>21014</v>
      </c>
      <c r="C39" s="1" t="s">
        <v>5</v>
      </c>
      <c r="D39" s="20">
        <v>0</v>
      </c>
      <c r="E39" s="1" t="s">
        <v>6</v>
      </c>
      <c r="F39" s="20">
        <v>0.99998842592592596</v>
      </c>
      <c r="G39" s="1">
        <v>50.6</v>
      </c>
      <c r="H39" s="1">
        <v>75</v>
      </c>
      <c r="I39" s="1">
        <v>93.1</v>
      </c>
      <c r="J39" s="1">
        <v>-1</v>
      </c>
      <c r="K39" s="1">
        <v>-1</v>
      </c>
      <c r="L39" s="1">
        <v>-1</v>
      </c>
      <c r="M39" s="1">
        <v>102.6</v>
      </c>
      <c r="N39" s="1">
        <v>151.5</v>
      </c>
      <c r="O39" s="1">
        <v>188.1</v>
      </c>
      <c r="P39" s="1">
        <v>50.6</v>
      </c>
      <c r="Q39" s="1">
        <v>75</v>
      </c>
      <c r="R39" s="1">
        <v>93.1</v>
      </c>
      <c r="S39" s="1">
        <v>151.5</v>
      </c>
      <c r="T39" s="1">
        <v>188.1</v>
      </c>
      <c r="U39" s="1">
        <v>75</v>
      </c>
      <c r="V39" s="1">
        <v>93.1</v>
      </c>
      <c r="W39" s="1">
        <v>93.1</v>
      </c>
      <c r="X39" s="23">
        <v>45166</v>
      </c>
    </row>
    <row r="40" spans="1:24" x14ac:dyDescent="0.3">
      <c r="A40" s="1" t="s">
        <v>39</v>
      </c>
      <c r="B40" s="1">
        <v>21016</v>
      </c>
      <c r="C40" s="1" t="s">
        <v>5</v>
      </c>
      <c r="D40" s="20">
        <v>0</v>
      </c>
      <c r="E40" s="1" t="s">
        <v>6</v>
      </c>
      <c r="F40" s="20">
        <v>0.99998842592592596</v>
      </c>
      <c r="G40" s="1">
        <v>51.8</v>
      </c>
      <c r="H40" s="1">
        <v>77.2</v>
      </c>
      <c r="I40" s="1">
        <v>93.1</v>
      </c>
      <c r="J40" s="1">
        <v>-1</v>
      </c>
      <c r="K40" s="1">
        <v>-1</v>
      </c>
      <c r="L40" s="1">
        <v>-1</v>
      </c>
      <c r="M40" s="1">
        <v>104.5</v>
      </c>
      <c r="N40" s="1">
        <v>156.4</v>
      </c>
      <c r="O40" s="1">
        <v>188.1</v>
      </c>
      <c r="P40" s="1">
        <v>51.8</v>
      </c>
      <c r="Q40" s="1">
        <v>77.2</v>
      </c>
      <c r="R40" s="1">
        <v>93.1</v>
      </c>
      <c r="S40" s="1">
        <v>156.4</v>
      </c>
      <c r="T40" s="1">
        <v>188.1</v>
      </c>
      <c r="U40" s="1">
        <v>77.2</v>
      </c>
      <c r="V40" s="1">
        <v>93.1</v>
      </c>
      <c r="W40" s="1">
        <v>93.1</v>
      </c>
      <c r="X40" s="23">
        <v>45162</v>
      </c>
    </row>
  </sheetData>
  <conditionalFormatting sqref="A1:A1048576">
    <cfRule type="duplicateValues" dxfId="5" priority="2"/>
  </conditionalFormatting>
  <conditionalFormatting sqref="B1:B1048576">
    <cfRule type="duplicateValues" dxfId="4" priority="1"/>
  </conditionalFormatting>
  <pageMargins left="0.75" right="0.75" top="1" bottom="1" header="0.5" footer="0.5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25F97F7-C690-F64B-B8DD-088333A7A13A}">
  <dimension ref="A1:F14"/>
  <sheetViews>
    <sheetView zoomScaleNormal="100" workbookViewId="0">
      <selection activeCell="F12" sqref="F12"/>
    </sheetView>
  </sheetViews>
  <sheetFormatPr defaultColWidth="11" defaultRowHeight="14.4" x14ac:dyDescent="0.3"/>
  <cols>
    <col min="1" max="1" width="8.44140625" style="1" bestFit="1" customWidth="1"/>
    <col min="2" max="2" width="65.77734375" style="1" bestFit="1" customWidth="1"/>
    <col min="3" max="3" width="27.5546875" style="1" bestFit="1" customWidth="1"/>
    <col min="4" max="4" width="11" style="1"/>
    <col min="5" max="5" width="14.44140625" style="1" bestFit="1" customWidth="1"/>
    <col min="6" max="6" width="35" style="1" bestFit="1" customWidth="1"/>
    <col min="7" max="16384" width="11" style="1"/>
  </cols>
  <sheetData>
    <row r="1" spans="1:6" ht="18" x14ac:dyDescent="0.35">
      <c r="A1" s="4" t="s">
        <v>47</v>
      </c>
      <c r="B1" s="4" t="s">
        <v>48</v>
      </c>
      <c r="C1" s="4" t="s">
        <v>44</v>
      </c>
      <c r="E1" s="4" t="s">
        <v>177</v>
      </c>
      <c r="F1" s="42" t="s">
        <v>178</v>
      </c>
    </row>
    <row r="2" spans="1:6" x14ac:dyDescent="0.3">
      <c r="A2" s="21"/>
      <c r="B2" s="43" t="s">
        <v>161</v>
      </c>
      <c r="C2" s="21"/>
      <c r="D2" s="13"/>
      <c r="E2" s="44"/>
      <c r="F2" s="13"/>
    </row>
    <row r="3" spans="1:6" ht="72" x14ac:dyDescent="0.3">
      <c r="A3" s="50">
        <v>1</v>
      </c>
      <c r="B3" s="45" t="s">
        <v>108</v>
      </c>
      <c r="C3" s="45" t="s">
        <v>45</v>
      </c>
      <c r="D3" s="46"/>
      <c r="E3" s="47">
        <v>5</v>
      </c>
      <c r="F3" s="48" t="s">
        <v>180</v>
      </c>
    </row>
    <row r="4" spans="1:6" x14ac:dyDescent="0.3">
      <c r="A4" s="50">
        <v>2</v>
      </c>
      <c r="B4" s="45" t="s">
        <v>46</v>
      </c>
      <c r="C4" s="45"/>
      <c r="D4" s="46"/>
      <c r="E4" s="47">
        <v>5</v>
      </c>
      <c r="F4" s="49" t="s">
        <v>179</v>
      </c>
    </row>
    <row r="5" spans="1:6" x14ac:dyDescent="0.3">
      <c r="A5" s="50">
        <v>3</v>
      </c>
      <c r="B5" s="45" t="s">
        <v>104</v>
      </c>
      <c r="C5" s="51" t="s">
        <v>105</v>
      </c>
      <c r="D5" s="46"/>
      <c r="E5" s="47">
        <v>10</v>
      </c>
      <c r="F5" s="49" t="s">
        <v>181</v>
      </c>
    </row>
    <row r="6" spans="1:6" ht="57.6" x14ac:dyDescent="0.3">
      <c r="A6" s="50">
        <v>4</v>
      </c>
      <c r="B6" s="45" t="s">
        <v>107</v>
      </c>
      <c r="C6" s="45"/>
      <c r="D6" s="46"/>
      <c r="E6" s="47">
        <v>5</v>
      </c>
      <c r="F6" s="54" t="s">
        <v>182</v>
      </c>
    </row>
    <row r="7" spans="1:6" x14ac:dyDescent="0.3">
      <c r="A7" s="2"/>
      <c r="B7" s="2"/>
      <c r="C7" s="2"/>
    </row>
    <row r="13" spans="1:6" x14ac:dyDescent="0.3">
      <c r="E13" s="2"/>
    </row>
    <row r="14" spans="1:6" x14ac:dyDescent="0.3">
      <c r="E14" s="2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A0CE44D-392F-4960-A098-A913C54A8F56}">
  <dimension ref="A1:X41"/>
  <sheetViews>
    <sheetView topLeftCell="U1" zoomScaleNormal="100" workbookViewId="0">
      <pane ySplit="1" topLeftCell="A7" activePane="bottomLeft" state="frozen"/>
      <selection pane="bottomLeft" activeCell="AB17" sqref="AB17"/>
    </sheetView>
  </sheetViews>
  <sheetFormatPr defaultColWidth="9" defaultRowHeight="14.4" x14ac:dyDescent="0.3"/>
  <cols>
    <col min="1" max="1" width="25.44140625" style="1" bestFit="1" customWidth="1"/>
    <col min="2" max="2" width="7.44140625" style="1" bestFit="1" customWidth="1"/>
    <col min="3" max="3" width="9.77734375" style="1" bestFit="1" customWidth="1"/>
    <col min="4" max="4" width="11" style="20" customWidth="1"/>
    <col min="5" max="5" width="9.21875" style="1" bestFit="1" customWidth="1"/>
    <col min="6" max="6" width="10.44140625" style="20" bestFit="1" customWidth="1"/>
    <col min="7" max="9" width="12.77734375" style="1" bestFit="1" customWidth="1"/>
    <col min="10" max="12" width="13" style="1" bestFit="1" customWidth="1"/>
    <col min="13" max="15" width="14.21875" style="1" bestFit="1" customWidth="1"/>
    <col min="16" max="18" width="14.44140625" style="1" bestFit="1" customWidth="1"/>
    <col min="19" max="20" width="18.77734375" style="1" bestFit="1" customWidth="1"/>
    <col min="21" max="23" width="19" style="1" bestFit="1" customWidth="1"/>
    <col min="24" max="24" width="12.5546875" style="1" bestFit="1" customWidth="1"/>
    <col min="25" max="16384" width="9" style="1"/>
  </cols>
  <sheetData>
    <row r="1" spans="1:24" s="3" customFormat="1" ht="14.7" customHeight="1" x14ac:dyDescent="0.3">
      <c r="A1" s="24" t="s">
        <v>64</v>
      </c>
      <c r="B1" s="24" t="s">
        <v>43</v>
      </c>
      <c r="C1" s="24" t="s">
        <v>0</v>
      </c>
      <c r="D1" s="25" t="s">
        <v>1</v>
      </c>
      <c r="E1" s="24" t="s">
        <v>2</v>
      </c>
      <c r="F1" s="25" t="s">
        <v>3</v>
      </c>
      <c r="G1" s="26" t="s">
        <v>79</v>
      </c>
      <c r="H1" s="26" t="s">
        <v>65</v>
      </c>
      <c r="I1" s="26" t="s">
        <v>66</v>
      </c>
      <c r="J1" s="27" t="s">
        <v>67</v>
      </c>
      <c r="K1" s="27" t="s">
        <v>68</v>
      </c>
      <c r="L1" s="27" t="s">
        <v>69</v>
      </c>
      <c r="M1" s="26" t="s">
        <v>70</v>
      </c>
      <c r="N1" s="26" t="s">
        <v>71</v>
      </c>
      <c r="O1" s="26" t="s">
        <v>72</v>
      </c>
      <c r="P1" s="27" t="s">
        <v>73</v>
      </c>
      <c r="Q1" s="27" t="s">
        <v>74</v>
      </c>
      <c r="R1" s="27" t="s">
        <v>75</v>
      </c>
      <c r="S1" s="26" t="s">
        <v>80</v>
      </c>
      <c r="T1" s="26" t="s">
        <v>76</v>
      </c>
      <c r="U1" s="27" t="s">
        <v>81</v>
      </c>
      <c r="V1" s="27" t="s">
        <v>77</v>
      </c>
      <c r="W1" s="27" t="s">
        <v>78</v>
      </c>
      <c r="X1" s="3" t="s">
        <v>106</v>
      </c>
    </row>
    <row r="2" spans="1:24" x14ac:dyDescent="0.3">
      <c r="A2" s="1" t="s">
        <v>40</v>
      </c>
      <c r="B2" s="1">
        <v>20000</v>
      </c>
      <c r="C2" s="1" t="s">
        <v>5</v>
      </c>
      <c r="D2" s="20">
        <v>0</v>
      </c>
      <c r="E2" s="1" t="s">
        <v>6</v>
      </c>
      <c r="F2" s="20">
        <v>0.99998842592592596</v>
      </c>
      <c r="G2" s="1">
        <v>2.7</v>
      </c>
      <c r="H2" s="1">
        <v>3.6</v>
      </c>
      <c r="I2" s="1">
        <v>4.2</v>
      </c>
      <c r="J2" s="1">
        <v>-1</v>
      </c>
      <c r="K2" s="1">
        <v>-1</v>
      </c>
      <c r="L2" s="1">
        <v>-1</v>
      </c>
      <c r="M2" s="1">
        <v>5.3</v>
      </c>
      <c r="N2" s="1">
        <v>7.6</v>
      </c>
      <c r="O2" s="1">
        <v>8.9</v>
      </c>
      <c r="P2" s="1">
        <v>2.7</v>
      </c>
      <c r="Q2" s="1">
        <v>3.6</v>
      </c>
      <c r="R2" s="1">
        <v>4.2</v>
      </c>
      <c r="S2" s="1">
        <v>7.6</v>
      </c>
      <c r="T2" s="1">
        <v>8.9</v>
      </c>
      <c r="U2" s="1">
        <v>3.6</v>
      </c>
      <c r="V2" s="1">
        <v>4.2</v>
      </c>
      <c r="W2" s="1">
        <v>4.2</v>
      </c>
      <c r="X2" s="53">
        <v>45051</v>
      </c>
    </row>
    <row r="3" spans="1:24" x14ac:dyDescent="0.3">
      <c r="A3" s="1" t="s">
        <v>4</v>
      </c>
      <c r="B3" s="1">
        <v>20002</v>
      </c>
      <c r="C3" s="1" t="s">
        <v>5</v>
      </c>
      <c r="D3" s="20">
        <v>0</v>
      </c>
      <c r="E3" s="1" t="s">
        <v>6</v>
      </c>
      <c r="F3" s="20">
        <v>0.99998842592592596</v>
      </c>
      <c r="G3" s="1">
        <v>2.7</v>
      </c>
      <c r="H3" s="1">
        <v>3.6</v>
      </c>
      <c r="I3" s="1">
        <v>4.2</v>
      </c>
      <c r="J3" s="1">
        <v>-1</v>
      </c>
      <c r="K3" s="1">
        <v>-1</v>
      </c>
      <c r="L3" s="1">
        <v>-1</v>
      </c>
      <c r="M3" s="1">
        <v>5.3</v>
      </c>
      <c r="N3" s="1">
        <v>7.6</v>
      </c>
      <c r="O3" s="1">
        <v>8.9</v>
      </c>
      <c r="P3" s="1">
        <v>2.7</v>
      </c>
      <c r="Q3" s="1">
        <v>3.6</v>
      </c>
      <c r="R3" s="1">
        <v>4.2</v>
      </c>
      <c r="S3" s="1">
        <v>7.6</v>
      </c>
      <c r="T3" s="1">
        <v>8.9</v>
      </c>
      <c r="U3" s="1">
        <v>3.6</v>
      </c>
      <c r="V3" s="1">
        <v>4.2</v>
      </c>
      <c r="W3" s="1">
        <v>4.2</v>
      </c>
      <c r="X3" s="53">
        <v>45048</v>
      </c>
    </row>
    <row r="4" spans="1:24" x14ac:dyDescent="0.3">
      <c r="A4" s="1" t="s">
        <v>7</v>
      </c>
      <c r="B4" s="1">
        <v>20004</v>
      </c>
      <c r="C4" s="1" t="s">
        <v>5</v>
      </c>
      <c r="D4" s="20">
        <v>0</v>
      </c>
      <c r="E4" s="1" t="s">
        <v>6</v>
      </c>
      <c r="F4" s="20">
        <v>0.99998842592592596</v>
      </c>
      <c r="G4" s="1">
        <v>3.6</v>
      </c>
      <c r="H4" s="1">
        <v>5.4</v>
      </c>
      <c r="I4" s="1">
        <v>5.8</v>
      </c>
      <c r="J4" s="1">
        <v>-1</v>
      </c>
      <c r="K4" s="1">
        <v>-1</v>
      </c>
      <c r="L4" s="1">
        <v>-1</v>
      </c>
      <c r="M4" s="1">
        <v>7.6</v>
      </c>
      <c r="N4" s="1">
        <v>11.1</v>
      </c>
      <c r="O4" s="1">
        <v>12.2</v>
      </c>
      <c r="P4" s="1">
        <v>3.6</v>
      </c>
      <c r="Q4" s="1">
        <v>5.4</v>
      </c>
      <c r="R4" s="1">
        <v>5.8</v>
      </c>
      <c r="S4" s="1">
        <v>11.1</v>
      </c>
      <c r="T4" s="1">
        <v>12.2</v>
      </c>
      <c r="U4" s="1">
        <v>5.4</v>
      </c>
      <c r="V4" s="1">
        <v>5.8</v>
      </c>
      <c r="W4" s="1">
        <v>5.8</v>
      </c>
      <c r="X4" s="53">
        <v>45055</v>
      </c>
    </row>
    <row r="5" spans="1:24" x14ac:dyDescent="0.3">
      <c r="A5" s="1" t="s">
        <v>8</v>
      </c>
      <c r="B5" s="1">
        <v>20006</v>
      </c>
      <c r="C5" s="1" t="s">
        <v>5</v>
      </c>
      <c r="D5" s="20">
        <v>0</v>
      </c>
      <c r="E5" s="1" t="s">
        <v>6</v>
      </c>
      <c r="F5" s="20">
        <v>0.99998842592592596</v>
      </c>
      <c r="G5" s="1">
        <v>4.9000000000000004</v>
      </c>
      <c r="H5" s="1">
        <v>6.6</v>
      </c>
      <c r="I5" s="1">
        <v>8.1</v>
      </c>
      <c r="J5" s="1">
        <v>-1</v>
      </c>
      <c r="K5" s="1">
        <v>-1</v>
      </c>
      <c r="L5" s="1">
        <v>-1</v>
      </c>
      <c r="M5" s="1">
        <v>10</v>
      </c>
      <c r="N5" s="1">
        <v>13.3</v>
      </c>
      <c r="O5" s="1">
        <v>17</v>
      </c>
      <c r="P5" s="1">
        <v>4.9000000000000004</v>
      </c>
      <c r="Q5" s="1">
        <v>6.6</v>
      </c>
      <c r="R5" s="1">
        <v>8.1</v>
      </c>
      <c r="S5" s="1">
        <v>13.3</v>
      </c>
      <c r="T5" s="1">
        <v>17</v>
      </c>
      <c r="U5" s="1">
        <v>6.6</v>
      </c>
      <c r="V5" s="1">
        <v>8.1</v>
      </c>
      <c r="W5" s="1">
        <v>8.1</v>
      </c>
      <c r="X5" s="53">
        <v>45059</v>
      </c>
    </row>
    <row r="6" spans="1:24" x14ac:dyDescent="0.3">
      <c r="A6" s="1" t="s">
        <v>9</v>
      </c>
      <c r="B6" s="1">
        <v>20008</v>
      </c>
      <c r="C6" s="1" t="s">
        <v>5</v>
      </c>
      <c r="D6" s="20">
        <v>0</v>
      </c>
      <c r="E6" s="1" t="s">
        <v>6</v>
      </c>
      <c r="F6" s="20">
        <v>0.99998842592592596</v>
      </c>
      <c r="G6" s="1">
        <v>6.6</v>
      </c>
      <c r="H6" s="1">
        <v>8.8000000000000007</v>
      </c>
      <c r="I6" s="1">
        <v>11</v>
      </c>
      <c r="J6" s="1">
        <v>-1</v>
      </c>
      <c r="K6" s="1">
        <v>-1</v>
      </c>
      <c r="L6" s="1">
        <v>-1</v>
      </c>
      <c r="M6" s="1">
        <v>13.3</v>
      </c>
      <c r="N6" s="1">
        <v>18</v>
      </c>
      <c r="O6" s="1">
        <v>22.5</v>
      </c>
      <c r="P6" s="1">
        <v>6.6</v>
      </c>
      <c r="Q6" s="1">
        <v>8.8000000000000007</v>
      </c>
      <c r="R6" s="1">
        <v>11</v>
      </c>
      <c r="S6" s="1">
        <v>18</v>
      </c>
      <c r="T6" s="1">
        <v>22.5</v>
      </c>
      <c r="U6" s="1">
        <v>8.8000000000000007</v>
      </c>
      <c r="V6" s="1">
        <v>11</v>
      </c>
      <c r="W6" s="1">
        <v>11</v>
      </c>
      <c r="X6" s="53">
        <v>45076</v>
      </c>
    </row>
    <row r="7" spans="1:24" x14ac:dyDescent="0.3">
      <c r="A7" s="1" t="s">
        <v>10</v>
      </c>
      <c r="B7" s="1">
        <v>20010</v>
      </c>
      <c r="C7" s="1" t="s">
        <v>5</v>
      </c>
      <c r="D7" s="20">
        <v>0</v>
      </c>
      <c r="E7" s="1" t="s">
        <v>6</v>
      </c>
      <c r="F7" s="20">
        <v>0.99998842592592596</v>
      </c>
      <c r="G7" s="1">
        <v>7.1</v>
      </c>
      <c r="H7" s="1">
        <v>10.4</v>
      </c>
      <c r="I7" s="1">
        <v>12.8</v>
      </c>
      <c r="J7" s="1">
        <v>-1</v>
      </c>
      <c r="K7" s="1">
        <v>-1</v>
      </c>
      <c r="L7" s="1">
        <v>-1</v>
      </c>
      <c r="M7" s="1">
        <v>14.4</v>
      </c>
      <c r="N7" s="1">
        <v>21.5</v>
      </c>
      <c r="O7" s="1">
        <v>26.1</v>
      </c>
      <c r="P7" s="1">
        <v>7.1</v>
      </c>
      <c r="Q7" s="1">
        <v>10.4</v>
      </c>
      <c r="R7" s="1">
        <v>12.8</v>
      </c>
      <c r="S7" s="1">
        <v>21.5</v>
      </c>
      <c r="T7" s="1">
        <v>26.1</v>
      </c>
      <c r="U7" s="1">
        <v>10.4</v>
      </c>
      <c r="V7" s="1">
        <v>12.8</v>
      </c>
      <c r="W7" s="1">
        <v>12.8</v>
      </c>
      <c r="X7" s="53">
        <v>45057</v>
      </c>
    </row>
    <row r="8" spans="1:24" x14ac:dyDescent="0.3">
      <c r="A8" s="1" t="s">
        <v>11</v>
      </c>
      <c r="B8" s="1">
        <v>20012</v>
      </c>
      <c r="C8" s="1" t="s">
        <v>5</v>
      </c>
      <c r="D8" s="20">
        <v>0</v>
      </c>
      <c r="E8" s="1" t="s">
        <v>6</v>
      </c>
      <c r="F8" s="20">
        <v>0.99998842592592596</v>
      </c>
      <c r="G8" s="1">
        <v>9.4</v>
      </c>
      <c r="H8" s="1">
        <v>13.8</v>
      </c>
      <c r="I8" s="1">
        <v>16.100000000000001</v>
      </c>
      <c r="J8" s="1">
        <v>-1</v>
      </c>
      <c r="K8" s="1">
        <v>-1</v>
      </c>
      <c r="L8" s="1">
        <v>-1</v>
      </c>
      <c r="M8" s="1">
        <v>19.2</v>
      </c>
      <c r="N8" s="1">
        <v>28.3</v>
      </c>
      <c r="O8" s="1">
        <v>32.799999999999997</v>
      </c>
      <c r="P8" s="1">
        <v>9.4</v>
      </c>
      <c r="Q8" s="1">
        <v>13.8</v>
      </c>
      <c r="R8" s="1">
        <v>16.100000000000001</v>
      </c>
      <c r="S8" s="1">
        <v>28.3</v>
      </c>
      <c r="T8" s="1">
        <v>32.799999999999997</v>
      </c>
      <c r="U8" s="1">
        <v>13.8</v>
      </c>
      <c r="V8" s="1">
        <v>16.100000000000001</v>
      </c>
      <c r="W8" s="1">
        <v>16.100000000000001</v>
      </c>
      <c r="X8" s="53">
        <v>45052</v>
      </c>
    </row>
    <row r="9" spans="1:24" x14ac:dyDescent="0.3">
      <c r="A9" s="1" t="s">
        <v>12</v>
      </c>
      <c r="B9" s="1">
        <v>20014</v>
      </c>
      <c r="C9" s="1" t="s">
        <v>5</v>
      </c>
      <c r="D9" s="20">
        <v>0</v>
      </c>
      <c r="E9" s="1" t="s">
        <v>6</v>
      </c>
      <c r="F9" s="20">
        <v>0.99998842592592596</v>
      </c>
      <c r="G9" s="1">
        <v>11.6</v>
      </c>
      <c r="H9" s="1">
        <v>17.3</v>
      </c>
      <c r="I9" s="1">
        <v>21.3</v>
      </c>
      <c r="J9" s="1">
        <v>-1</v>
      </c>
      <c r="K9" s="1">
        <v>-1</v>
      </c>
      <c r="L9" s="1">
        <v>-1</v>
      </c>
      <c r="M9" s="1">
        <v>23.6</v>
      </c>
      <c r="N9" s="1">
        <v>35.200000000000003</v>
      </c>
      <c r="O9" s="1">
        <v>43</v>
      </c>
      <c r="P9" s="1">
        <v>11.6</v>
      </c>
      <c r="Q9" s="1">
        <v>17.3</v>
      </c>
      <c r="R9" s="1">
        <v>21.3</v>
      </c>
      <c r="S9" s="1">
        <v>35.200000000000003</v>
      </c>
      <c r="T9" s="1">
        <v>43</v>
      </c>
      <c r="U9" s="1">
        <v>17.3</v>
      </c>
      <c r="V9" s="1">
        <v>21.3</v>
      </c>
      <c r="W9" s="1">
        <v>21.3</v>
      </c>
      <c r="X9" s="53">
        <v>45098</v>
      </c>
    </row>
    <row r="10" spans="1:24" x14ac:dyDescent="0.3">
      <c r="A10" s="1" t="s">
        <v>13</v>
      </c>
      <c r="B10" s="1">
        <v>20016</v>
      </c>
      <c r="C10" s="1" t="s">
        <v>5</v>
      </c>
      <c r="D10" s="20">
        <v>0</v>
      </c>
      <c r="E10" s="1" t="s">
        <v>6</v>
      </c>
      <c r="F10" s="20">
        <v>0.99998842592592596</v>
      </c>
      <c r="G10" s="1">
        <v>16.100000000000001</v>
      </c>
      <c r="H10" s="1">
        <v>24.1</v>
      </c>
      <c r="I10" s="1">
        <v>29.1</v>
      </c>
      <c r="J10" s="1">
        <v>-1</v>
      </c>
      <c r="K10" s="1">
        <v>-1</v>
      </c>
      <c r="L10" s="1">
        <v>-1</v>
      </c>
      <c r="M10" s="1">
        <v>32.799999999999997</v>
      </c>
      <c r="N10" s="1">
        <v>49</v>
      </c>
      <c r="O10" s="1">
        <v>59</v>
      </c>
      <c r="P10" s="1">
        <v>16.100000000000001</v>
      </c>
      <c r="Q10" s="1">
        <v>24.1</v>
      </c>
      <c r="R10" s="1">
        <v>29.1</v>
      </c>
      <c r="S10" s="1">
        <v>49</v>
      </c>
      <c r="T10" s="1">
        <v>59</v>
      </c>
      <c r="U10" s="1">
        <v>24.1</v>
      </c>
      <c r="V10" s="1">
        <v>29.1</v>
      </c>
      <c r="W10" s="1">
        <v>29.1</v>
      </c>
      <c r="X10" s="53">
        <v>45092</v>
      </c>
    </row>
    <row r="11" spans="1:24" x14ac:dyDescent="0.3">
      <c r="A11" s="1" t="s">
        <v>14</v>
      </c>
      <c r="B11" s="1">
        <v>20018</v>
      </c>
      <c r="C11" s="1" t="s">
        <v>5</v>
      </c>
      <c r="D11" s="20">
        <v>0</v>
      </c>
      <c r="E11" s="1" t="s">
        <v>6</v>
      </c>
      <c r="F11" s="20">
        <v>0.99998842592592596</v>
      </c>
      <c r="G11" s="1">
        <v>18.399999999999999</v>
      </c>
      <c r="H11" s="1">
        <v>27.5</v>
      </c>
      <c r="I11" s="1">
        <v>33.799999999999997</v>
      </c>
      <c r="J11" s="1">
        <v>-1</v>
      </c>
      <c r="K11" s="1">
        <v>-1</v>
      </c>
      <c r="L11" s="1">
        <v>-1</v>
      </c>
      <c r="M11" s="1">
        <v>37.200000000000003</v>
      </c>
      <c r="N11" s="1">
        <v>55.6</v>
      </c>
      <c r="O11" s="1">
        <v>67.900000000000006</v>
      </c>
      <c r="P11" s="1">
        <v>18.399999999999999</v>
      </c>
      <c r="Q11" s="1">
        <v>27.5</v>
      </c>
      <c r="R11" s="1">
        <v>33.799999999999997</v>
      </c>
      <c r="S11" s="1">
        <v>55.6</v>
      </c>
      <c r="T11" s="1">
        <v>67.900000000000006</v>
      </c>
      <c r="U11" s="1">
        <v>27.5</v>
      </c>
      <c r="V11" s="1">
        <v>33.799999999999997</v>
      </c>
      <c r="W11" s="1">
        <v>33.799999999999997</v>
      </c>
      <c r="X11" s="53">
        <v>45104</v>
      </c>
    </row>
    <row r="12" spans="1:24" x14ac:dyDescent="0.3">
      <c r="A12" s="1" t="s">
        <v>15</v>
      </c>
      <c r="B12" s="1">
        <v>20020</v>
      </c>
      <c r="C12" s="1" t="s">
        <v>5</v>
      </c>
      <c r="D12" s="20">
        <v>0</v>
      </c>
      <c r="E12" s="1" t="s">
        <v>6</v>
      </c>
      <c r="F12" s="20">
        <v>0.99998842592592596</v>
      </c>
      <c r="G12" s="1">
        <v>0</v>
      </c>
      <c r="H12" s="1">
        <v>0</v>
      </c>
      <c r="I12" s="1">
        <v>0</v>
      </c>
      <c r="J12" s="1">
        <v>0</v>
      </c>
      <c r="K12" s="1">
        <v>0</v>
      </c>
      <c r="L12" s="1">
        <v>0</v>
      </c>
      <c r="M12" s="1">
        <v>0</v>
      </c>
      <c r="N12" s="1">
        <v>0</v>
      </c>
      <c r="O12" s="1">
        <v>0</v>
      </c>
      <c r="P12" s="1">
        <v>0</v>
      </c>
      <c r="Q12" s="1">
        <v>0</v>
      </c>
      <c r="R12" s="1">
        <v>0</v>
      </c>
      <c r="S12" s="1">
        <v>0</v>
      </c>
      <c r="T12" s="1">
        <v>0</v>
      </c>
      <c r="U12" s="1">
        <v>0</v>
      </c>
      <c r="V12" s="1">
        <v>0</v>
      </c>
      <c r="W12" s="1">
        <v>0</v>
      </c>
      <c r="X12" s="53">
        <v>45116</v>
      </c>
    </row>
    <row r="13" spans="1:24" x14ac:dyDescent="0.3">
      <c r="A13" s="1" t="s">
        <v>16</v>
      </c>
      <c r="B13" s="1">
        <v>20022</v>
      </c>
      <c r="C13" s="1" t="s">
        <v>5</v>
      </c>
      <c r="D13" s="20">
        <v>0</v>
      </c>
      <c r="E13" s="1" t="s">
        <v>6</v>
      </c>
      <c r="F13" s="20">
        <v>0.99998842592592596</v>
      </c>
      <c r="G13" s="1">
        <v>21.9</v>
      </c>
      <c r="H13" s="1">
        <v>32.1</v>
      </c>
      <c r="I13" s="1">
        <v>40.1</v>
      </c>
      <c r="J13" s="1">
        <v>-1</v>
      </c>
      <c r="K13" s="1">
        <v>-1</v>
      </c>
      <c r="L13" s="1">
        <v>-1</v>
      </c>
      <c r="M13" s="1">
        <v>42.3</v>
      </c>
      <c r="N13" s="1">
        <v>61.5</v>
      </c>
      <c r="O13" s="1">
        <v>76.599999999999994</v>
      </c>
      <c r="P13" s="1">
        <v>21.9</v>
      </c>
      <c r="Q13" s="1">
        <v>32.1</v>
      </c>
      <c r="R13" s="1">
        <v>40.1</v>
      </c>
      <c r="S13" s="1">
        <v>61.5</v>
      </c>
      <c r="T13" s="1">
        <v>76.599999999999994</v>
      </c>
      <c r="U13" s="1">
        <v>32.1</v>
      </c>
      <c r="V13" s="1">
        <v>40.1</v>
      </c>
      <c r="W13" s="1">
        <v>40.1</v>
      </c>
      <c r="X13" s="53">
        <v>45110</v>
      </c>
    </row>
    <row r="14" spans="1:24" x14ac:dyDescent="0.3">
      <c r="A14" s="1" t="s">
        <v>17</v>
      </c>
      <c r="B14" s="1">
        <v>20024</v>
      </c>
      <c r="C14" s="1" t="s">
        <v>5</v>
      </c>
      <c r="D14" s="20">
        <v>0</v>
      </c>
      <c r="E14" s="1" t="s">
        <v>6</v>
      </c>
      <c r="F14" s="20">
        <v>0.99998842592592596</v>
      </c>
      <c r="G14" s="1">
        <v>23.5</v>
      </c>
      <c r="H14" s="1">
        <v>34.700000000000003</v>
      </c>
      <c r="I14" s="1">
        <v>42.7</v>
      </c>
      <c r="J14" s="1">
        <v>-1</v>
      </c>
      <c r="K14" s="1">
        <v>-1</v>
      </c>
      <c r="L14" s="1">
        <v>-1</v>
      </c>
      <c r="M14" s="1">
        <v>47.7</v>
      </c>
      <c r="N14" s="1">
        <v>70.8</v>
      </c>
      <c r="O14" s="1">
        <v>86.6</v>
      </c>
      <c r="P14" s="1">
        <v>23.5</v>
      </c>
      <c r="Q14" s="1">
        <v>34.700000000000003</v>
      </c>
      <c r="R14" s="1">
        <v>42.7</v>
      </c>
      <c r="S14" s="1">
        <v>70.8</v>
      </c>
      <c r="T14" s="1">
        <v>86.6</v>
      </c>
      <c r="U14" s="1">
        <v>34.700000000000003</v>
      </c>
      <c r="V14" s="1">
        <v>42.7</v>
      </c>
      <c r="W14" s="1">
        <v>42.7</v>
      </c>
      <c r="X14" s="53">
        <v>45095</v>
      </c>
    </row>
    <row r="15" spans="1:24" x14ac:dyDescent="0.3">
      <c r="A15" s="1" t="s">
        <v>18</v>
      </c>
      <c r="B15" s="1">
        <v>20026</v>
      </c>
      <c r="C15" s="1" t="s">
        <v>5</v>
      </c>
      <c r="D15" s="20">
        <v>0</v>
      </c>
      <c r="E15" s="1" t="s">
        <v>6</v>
      </c>
      <c r="F15" s="20">
        <v>0.99998842592592596</v>
      </c>
      <c r="G15" s="1">
        <v>26.8</v>
      </c>
      <c r="H15" s="1">
        <v>39.299999999999997</v>
      </c>
      <c r="I15" s="1">
        <v>47.9</v>
      </c>
      <c r="J15" s="1">
        <v>-1</v>
      </c>
      <c r="K15" s="1">
        <v>-1</v>
      </c>
      <c r="L15" s="1">
        <v>-1</v>
      </c>
      <c r="M15" s="1">
        <v>54.6</v>
      </c>
      <c r="N15" s="1">
        <v>79.599999999999994</v>
      </c>
      <c r="O15" s="1">
        <v>96.8</v>
      </c>
      <c r="P15" s="1">
        <v>26.8</v>
      </c>
      <c r="Q15" s="1">
        <v>39.299999999999997</v>
      </c>
      <c r="R15" s="1">
        <v>47.9</v>
      </c>
      <c r="S15" s="1">
        <v>79.599999999999994</v>
      </c>
      <c r="T15" s="1">
        <v>96.8</v>
      </c>
      <c r="U15" s="1">
        <v>39.299999999999997</v>
      </c>
      <c r="V15" s="1">
        <v>47.9</v>
      </c>
      <c r="W15" s="1">
        <v>47.9</v>
      </c>
      <c r="X15" s="53">
        <v>45113</v>
      </c>
    </row>
    <row r="16" spans="1:24" x14ac:dyDescent="0.3">
      <c r="A16" s="1" t="s">
        <v>19</v>
      </c>
      <c r="B16" s="1">
        <v>20028</v>
      </c>
      <c r="C16" s="1" t="s">
        <v>5</v>
      </c>
      <c r="D16" s="20">
        <v>0</v>
      </c>
      <c r="E16" s="1" t="s">
        <v>6</v>
      </c>
      <c r="F16" s="20">
        <v>0.99998842592592596</v>
      </c>
      <c r="G16" s="1">
        <v>28</v>
      </c>
      <c r="H16" s="1">
        <v>41</v>
      </c>
      <c r="I16" s="1">
        <v>50.1</v>
      </c>
      <c r="J16" s="1">
        <v>-1</v>
      </c>
      <c r="K16" s="1">
        <v>-1</v>
      </c>
      <c r="L16" s="1">
        <v>-1</v>
      </c>
      <c r="M16" s="1">
        <v>56.7</v>
      </c>
      <c r="N16" s="1">
        <v>83.2</v>
      </c>
      <c r="O16" s="1">
        <v>101.3</v>
      </c>
      <c r="P16" s="1">
        <v>28</v>
      </c>
      <c r="Q16" s="1">
        <v>41</v>
      </c>
      <c r="R16" s="1">
        <v>50.1</v>
      </c>
      <c r="S16" s="1">
        <v>83.2</v>
      </c>
      <c r="T16" s="1">
        <v>101.3</v>
      </c>
      <c r="U16" s="1">
        <v>41</v>
      </c>
      <c r="V16" s="1">
        <v>50.1</v>
      </c>
      <c r="W16" s="1">
        <v>50.1</v>
      </c>
      <c r="X16" s="53">
        <v>45063</v>
      </c>
    </row>
    <row r="17" spans="1:24" x14ac:dyDescent="0.3">
      <c r="A17" s="1" t="s">
        <v>20</v>
      </c>
      <c r="B17" s="1">
        <v>20030</v>
      </c>
      <c r="C17" s="1" t="s">
        <v>5</v>
      </c>
      <c r="D17" s="20">
        <v>0</v>
      </c>
      <c r="E17" s="1" t="s">
        <v>6</v>
      </c>
      <c r="F17" s="20">
        <v>0.99998842592592596</v>
      </c>
      <c r="G17" s="1">
        <v>28.5</v>
      </c>
      <c r="H17" s="1">
        <v>42.3</v>
      </c>
      <c r="I17" s="1">
        <v>52.3</v>
      </c>
      <c r="J17" s="1">
        <v>-1</v>
      </c>
      <c r="K17" s="1">
        <v>-1</v>
      </c>
      <c r="L17" s="1">
        <v>-1</v>
      </c>
      <c r="M17" s="1">
        <v>58.3</v>
      </c>
      <c r="N17" s="1">
        <v>85.4</v>
      </c>
      <c r="O17" s="1">
        <v>106.1</v>
      </c>
      <c r="P17" s="1">
        <v>28.5</v>
      </c>
      <c r="Q17" s="1">
        <v>42.3</v>
      </c>
      <c r="R17" s="1">
        <v>52.3</v>
      </c>
      <c r="S17" s="1">
        <v>85.4</v>
      </c>
      <c r="T17" s="1">
        <v>106.1</v>
      </c>
      <c r="U17" s="1">
        <v>42.3</v>
      </c>
      <c r="V17" s="1">
        <v>52.3</v>
      </c>
      <c r="W17" s="1">
        <v>52.3</v>
      </c>
      <c r="X17" s="53">
        <v>45071</v>
      </c>
    </row>
    <row r="18" spans="1:24" x14ac:dyDescent="0.3">
      <c r="A18" s="1" t="s">
        <v>21</v>
      </c>
      <c r="B18" s="1">
        <v>20032</v>
      </c>
      <c r="C18" s="1" t="s">
        <v>5</v>
      </c>
      <c r="D18" s="20">
        <v>0</v>
      </c>
      <c r="E18" s="1" t="s">
        <v>6</v>
      </c>
      <c r="F18" s="20">
        <v>0.99998842592592596</v>
      </c>
      <c r="G18" s="1">
        <v>29.1</v>
      </c>
      <c r="H18" s="1">
        <v>43.3</v>
      </c>
      <c r="I18" s="1">
        <v>53.7</v>
      </c>
      <c r="J18" s="1">
        <v>-1</v>
      </c>
      <c r="K18" s="1">
        <v>-1</v>
      </c>
      <c r="L18" s="1">
        <v>-1</v>
      </c>
      <c r="M18" s="1">
        <v>59</v>
      </c>
      <c r="N18" s="1">
        <v>87.6</v>
      </c>
      <c r="O18" s="1">
        <v>108.8</v>
      </c>
      <c r="P18" s="1">
        <v>29.1</v>
      </c>
      <c r="Q18" s="1">
        <v>43.3</v>
      </c>
      <c r="R18" s="1">
        <v>53.7</v>
      </c>
      <c r="S18" s="1">
        <v>87.6</v>
      </c>
      <c r="T18" s="1">
        <v>108.8</v>
      </c>
      <c r="U18" s="1">
        <v>43.3</v>
      </c>
      <c r="V18" s="1">
        <v>53.7</v>
      </c>
      <c r="W18" s="1">
        <v>53.7</v>
      </c>
      <c r="X18" s="53">
        <v>45085</v>
      </c>
    </row>
    <row r="19" spans="1:24" x14ac:dyDescent="0.3">
      <c r="A19" s="1" t="s">
        <v>22</v>
      </c>
      <c r="B19" s="1">
        <v>20034</v>
      </c>
      <c r="C19" s="1" t="s">
        <v>5</v>
      </c>
      <c r="D19" s="20">
        <v>0</v>
      </c>
      <c r="E19" s="1" t="s">
        <v>6</v>
      </c>
      <c r="F19" s="20">
        <v>0.99998842592592596</v>
      </c>
      <c r="G19" s="1">
        <v>30.7</v>
      </c>
      <c r="H19" s="1">
        <v>45.5</v>
      </c>
      <c r="I19" s="1">
        <v>57</v>
      </c>
      <c r="J19" s="1">
        <v>-1</v>
      </c>
      <c r="K19" s="1">
        <v>-1</v>
      </c>
      <c r="L19" s="1">
        <v>-1</v>
      </c>
      <c r="M19" s="1">
        <v>62.5</v>
      </c>
      <c r="N19" s="1">
        <v>92.1</v>
      </c>
      <c r="O19" s="1">
        <v>115.1</v>
      </c>
      <c r="P19" s="1">
        <v>30.7</v>
      </c>
      <c r="Q19" s="1">
        <v>45.5</v>
      </c>
      <c r="R19" s="1">
        <v>57</v>
      </c>
      <c r="S19" s="1">
        <v>92.1</v>
      </c>
      <c r="T19" s="1">
        <v>115.1</v>
      </c>
      <c r="U19" s="1">
        <v>45.5</v>
      </c>
      <c r="V19" s="1">
        <v>57</v>
      </c>
      <c r="W19" s="1">
        <v>57</v>
      </c>
      <c r="X19" s="53">
        <v>45099</v>
      </c>
    </row>
    <row r="20" spans="1:24" x14ac:dyDescent="0.3">
      <c r="A20" s="1" t="s">
        <v>23</v>
      </c>
      <c r="B20" s="1">
        <v>20036</v>
      </c>
      <c r="C20" s="1" t="s">
        <v>5</v>
      </c>
      <c r="D20" s="20">
        <v>0</v>
      </c>
      <c r="E20" s="1" t="s">
        <v>6</v>
      </c>
      <c r="F20" s="20">
        <v>0.99998842592592596</v>
      </c>
      <c r="G20" s="1">
        <v>33.799999999999997</v>
      </c>
      <c r="H20" s="1">
        <v>50.1</v>
      </c>
      <c r="I20" s="1">
        <v>61.4</v>
      </c>
      <c r="J20" s="1">
        <v>-1</v>
      </c>
      <c r="K20" s="1">
        <v>-1</v>
      </c>
      <c r="L20" s="1">
        <v>-1</v>
      </c>
      <c r="M20" s="1">
        <v>67.900000000000006</v>
      </c>
      <c r="N20" s="1">
        <v>101.3</v>
      </c>
      <c r="O20" s="1">
        <v>124.4</v>
      </c>
      <c r="P20" s="1">
        <v>33.799999999999997</v>
      </c>
      <c r="Q20" s="1">
        <v>50.1</v>
      </c>
      <c r="R20" s="1">
        <v>61.4</v>
      </c>
      <c r="S20" s="1">
        <v>101.3</v>
      </c>
      <c r="T20" s="1">
        <v>124.4</v>
      </c>
      <c r="U20" s="1">
        <v>50.1</v>
      </c>
      <c r="V20" s="1">
        <v>61.4</v>
      </c>
      <c r="W20" s="1">
        <v>61.4</v>
      </c>
      <c r="X20" s="53">
        <v>45091</v>
      </c>
    </row>
    <row r="21" spans="1:24" x14ac:dyDescent="0.3">
      <c r="A21" s="1" t="s">
        <v>24</v>
      </c>
      <c r="B21" s="1">
        <v>20038</v>
      </c>
      <c r="C21" s="1" t="s">
        <v>5</v>
      </c>
      <c r="D21" s="20">
        <v>0</v>
      </c>
      <c r="E21" s="1" t="s">
        <v>6</v>
      </c>
      <c r="F21" s="20">
        <v>0.99998842592592596</v>
      </c>
      <c r="G21" s="1">
        <v>34.700000000000003</v>
      </c>
      <c r="H21" s="1">
        <v>52.3</v>
      </c>
      <c r="I21" s="1">
        <v>63.6</v>
      </c>
      <c r="J21" s="1">
        <v>-1</v>
      </c>
      <c r="K21" s="1">
        <v>-1</v>
      </c>
      <c r="L21" s="1">
        <v>-1</v>
      </c>
      <c r="M21" s="1">
        <v>70.8</v>
      </c>
      <c r="N21" s="1">
        <v>106.1</v>
      </c>
      <c r="O21" s="1">
        <v>128.6</v>
      </c>
      <c r="P21" s="1">
        <v>34.700000000000003</v>
      </c>
      <c r="Q21" s="1">
        <v>52.3</v>
      </c>
      <c r="R21" s="1">
        <v>63.6</v>
      </c>
      <c r="S21" s="1">
        <v>106.1</v>
      </c>
      <c r="T21" s="1">
        <v>128.6</v>
      </c>
      <c r="U21" s="1">
        <v>52.3</v>
      </c>
      <c r="V21" s="1">
        <v>63.6</v>
      </c>
      <c r="W21" s="1">
        <v>63.6</v>
      </c>
      <c r="X21" s="53">
        <v>45079</v>
      </c>
    </row>
    <row r="22" spans="1:24" x14ac:dyDescent="0.3">
      <c r="A22" s="1" t="s">
        <v>25</v>
      </c>
      <c r="B22" s="1">
        <v>20040</v>
      </c>
      <c r="C22" s="1" t="s">
        <v>5</v>
      </c>
      <c r="D22" s="20">
        <v>0</v>
      </c>
      <c r="E22" s="1" t="s">
        <v>6</v>
      </c>
      <c r="F22" s="20">
        <v>0.99998842592592596</v>
      </c>
      <c r="G22" s="1">
        <v>36.5</v>
      </c>
      <c r="H22" s="1">
        <v>54.6</v>
      </c>
      <c r="I22" s="1">
        <v>65.900000000000006</v>
      </c>
      <c r="J22" s="1">
        <v>-1</v>
      </c>
      <c r="K22" s="1">
        <v>-1</v>
      </c>
      <c r="L22" s="1">
        <v>-1</v>
      </c>
      <c r="M22" s="1">
        <v>73.900000000000006</v>
      </c>
      <c r="N22" s="1">
        <v>110.3</v>
      </c>
      <c r="O22" s="1">
        <v>133.4</v>
      </c>
      <c r="P22" s="1">
        <v>36.5</v>
      </c>
      <c r="Q22" s="1">
        <v>54.6</v>
      </c>
      <c r="R22" s="1">
        <v>65.900000000000006</v>
      </c>
      <c r="S22" s="1">
        <v>110.3</v>
      </c>
      <c r="T22" s="1">
        <v>133.4</v>
      </c>
      <c r="U22" s="1">
        <v>54.6</v>
      </c>
      <c r="V22" s="1">
        <v>65.900000000000006</v>
      </c>
      <c r="W22" s="1">
        <v>65.900000000000006</v>
      </c>
      <c r="X22" s="53">
        <v>45075</v>
      </c>
    </row>
    <row r="23" spans="1:24" x14ac:dyDescent="0.3">
      <c r="A23" s="1" t="s">
        <v>41</v>
      </c>
      <c r="B23" s="1">
        <v>20042</v>
      </c>
      <c r="C23" s="1" t="s">
        <v>5</v>
      </c>
      <c r="D23" s="20">
        <v>0</v>
      </c>
      <c r="E23" s="1" t="s">
        <v>6</v>
      </c>
      <c r="F23" s="20">
        <v>0.99998842592592596</v>
      </c>
      <c r="G23" s="1">
        <v>38</v>
      </c>
      <c r="H23" s="1">
        <v>57.2</v>
      </c>
      <c r="I23" s="1">
        <v>68.7</v>
      </c>
      <c r="J23" s="1">
        <v>-1</v>
      </c>
      <c r="K23" s="1">
        <v>-1</v>
      </c>
      <c r="L23" s="1">
        <v>-1</v>
      </c>
      <c r="M23" s="1">
        <v>76.599999999999994</v>
      </c>
      <c r="N23" s="1">
        <v>115.5</v>
      </c>
      <c r="O23" s="1">
        <v>138.80000000000001</v>
      </c>
      <c r="P23" s="1">
        <v>38</v>
      </c>
      <c r="Q23" s="1">
        <v>57.2</v>
      </c>
      <c r="R23" s="1">
        <v>68.7</v>
      </c>
      <c r="S23" s="1">
        <v>115.5</v>
      </c>
      <c r="T23" s="1">
        <v>138.80000000000001</v>
      </c>
      <c r="U23" s="1">
        <v>57.2</v>
      </c>
      <c r="V23" s="1">
        <v>68.7</v>
      </c>
      <c r="W23" s="1">
        <v>68.7</v>
      </c>
      <c r="X23" s="53">
        <v>45110</v>
      </c>
    </row>
    <row r="24" spans="1:24" x14ac:dyDescent="0.3">
      <c r="A24" s="1" t="s">
        <v>26</v>
      </c>
      <c r="B24" s="1">
        <v>20044</v>
      </c>
      <c r="C24" s="1" t="s">
        <v>5</v>
      </c>
      <c r="D24" s="20">
        <v>0</v>
      </c>
      <c r="E24" s="1" t="s">
        <v>6</v>
      </c>
      <c r="F24" s="20">
        <v>0.99998842592592596</v>
      </c>
      <c r="G24" s="1">
        <v>38.700000000000003</v>
      </c>
      <c r="H24" s="1">
        <v>59.2</v>
      </c>
      <c r="I24" s="1">
        <v>70.400000000000006</v>
      </c>
      <c r="J24" s="1">
        <v>-1</v>
      </c>
      <c r="K24" s="1">
        <v>-1</v>
      </c>
      <c r="L24" s="1">
        <v>-1</v>
      </c>
      <c r="M24" s="1">
        <v>78.599999999999994</v>
      </c>
      <c r="N24" s="1">
        <v>119.4</v>
      </c>
      <c r="O24" s="1">
        <v>142.5</v>
      </c>
      <c r="P24" s="1">
        <v>38.700000000000003</v>
      </c>
      <c r="Q24" s="1">
        <v>59.2</v>
      </c>
      <c r="R24" s="1">
        <v>70.400000000000006</v>
      </c>
      <c r="S24" s="1">
        <v>119.4</v>
      </c>
      <c r="T24" s="1">
        <v>142.5</v>
      </c>
      <c r="U24" s="1">
        <v>59.2</v>
      </c>
      <c r="V24" s="1">
        <v>70.400000000000006</v>
      </c>
      <c r="W24" s="1">
        <v>70.400000000000006</v>
      </c>
      <c r="X24" s="53">
        <v>45114</v>
      </c>
    </row>
    <row r="25" spans="1:24" x14ac:dyDescent="0.3">
      <c r="A25" s="1" t="s">
        <v>27</v>
      </c>
      <c r="B25" s="1">
        <v>20046</v>
      </c>
      <c r="C25" s="1" t="s">
        <v>5</v>
      </c>
      <c r="D25" s="20">
        <v>0</v>
      </c>
      <c r="E25" s="1" t="s">
        <v>6</v>
      </c>
      <c r="F25" s="20">
        <v>0.99998842592592596</v>
      </c>
      <c r="G25" s="1">
        <v>40.1</v>
      </c>
      <c r="H25" s="1">
        <v>59.2</v>
      </c>
      <c r="I25" s="1">
        <v>72.8</v>
      </c>
      <c r="J25" s="1">
        <v>-1</v>
      </c>
      <c r="K25" s="1">
        <v>-1</v>
      </c>
      <c r="L25" s="1">
        <v>-1</v>
      </c>
      <c r="M25" s="1">
        <v>80.8</v>
      </c>
      <c r="N25" s="1">
        <v>119.4</v>
      </c>
      <c r="O25" s="1">
        <v>146.80000000000001</v>
      </c>
      <c r="P25" s="1">
        <v>40.1</v>
      </c>
      <c r="Q25" s="1">
        <v>59.2</v>
      </c>
      <c r="R25" s="1">
        <v>72.8</v>
      </c>
      <c r="S25" s="1">
        <v>119.4</v>
      </c>
      <c r="T25" s="1">
        <v>146.80000000000001</v>
      </c>
      <c r="U25" s="1">
        <v>59.2</v>
      </c>
      <c r="V25" s="1">
        <v>72.8</v>
      </c>
      <c r="W25" s="1">
        <v>72.8</v>
      </c>
      <c r="X25" s="53">
        <v>45118</v>
      </c>
    </row>
    <row r="26" spans="1:24" x14ac:dyDescent="0.3">
      <c r="A26" s="1" t="s">
        <v>28</v>
      </c>
      <c r="B26" s="1">
        <v>20048</v>
      </c>
      <c r="C26" s="1" t="s">
        <v>5</v>
      </c>
      <c r="D26" s="20">
        <v>0</v>
      </c>
      <c r="E26" s="1" t="s">
        <v>6</v>
      </c>
      <c r="F26" s="20">
        <v>0.99998842592592596</v>
      </c>
      <c r="G26" s="1">
        <v>0</v>
      </c>
      <c r="H26" s="1">
        <v>0</v>
      </c>
      <c r="I26" s="1">
        <v>0</v>
      </c>
      <c r="J26" s="1">
        <v>0</v>
      </c>
      <c r="K26" s="1">
        <v>0</v>
      </c>
      <c r="L26" s="1">
        <v>0</v>
      </c>
      <c r="M26" s="1">
        <v>0</v>
      </c>
      <c r="N26" s="1">
        <v>0</v>
      </c>
      <c r="O26" s="1">
        <v>0</v>
      </c>
      <c r="P26" s="1">
        <v>0</v>
      </c>
      <c r="Q26" s="1">
        <v>0</v>
      </c>
      <c r="R26" s="1">
        <v>0</v>
      </c>
      <c r="S26" s="1">
        <v>0</v>
      </c>
      <c r="T26" s="1">
        <v>0</v>
      </c>
      <c r="U26" s="1">
        <v>0</v>
      </c>
      <c r="V26" s="1">
        <v>0</v>
      </c>
      <c r="W26" s="1">
        <v>0</v>
      </c>
      <c r="X26" s="53">
        <v>45142</v>
      </c>
    </row>
    <row r="27" spans="1:24" x14ac:dyDescent="0.3">
      <c r="A27" s="1" t="s">
        <v>57</v>
      </c>
      <c r="B27" s="1">
        <v>20050</v>
      </c>
      <c r="C27" s="1" t="s">
        <v>5</v>
      </c>
      <c r="D27" s="20">
        <v>0</v>
      </c>
      <c r="E27" s="1" t="s">
        <v>6</v>
      </c>
      <c r="F27" s="20">
        <v>0.99998842592592596</v>
      </c>
      <c r="G27" s="1">
        <v>41.3</v>
      </c>
      <c r="H27" s="1">
        <v>61.4</v>
      </c>
      <c r="I27" s="1">
        <v>75</v>
      </c>
      <c r="J27" s="1">
        <v>-1</v>
      </c>
      <c r="K27" s="1">
        <v>-1</v>
      </c>
      <c r="L27" s="1">
        <v>-1</v>
      </c>
      <c r="M27" s="1">
        <v>83.5</v>
      </c>
      <c r="N27" s="1">
        <v>124.4</v>
      </c>
      <c r="O27" s="1">
        <v>151.5</v>
      </c>
      <c r="P27" s="1">
        <v>41.3</v>
      </c>
      <c r="Q27" s="1">
        <v>61.4</v>
      </c>
      <c r="R27" s="1">
        <v>75</v>
      </c>
      <c r="S27" s="1">
        <v>124.4</v>
      </c>
      <c r="T27" s="1">
        <v>151.5</v>
      </c>
      <c r="U27" s="1">
        <v>61.4</v>
      </c>
      <c r="V27" s="1">
        <v>75</v>
      </c>
      <c r="W27" s="1">
        <v>75</v>
      </c>
      <c r="X27" s="53">
        <v>45146</v>
      </c>
    </row>
    <row r="28" spans="1:24" x14ac:dyDescent="0.3">
      <c r="A28" s="1" t="s">
        <v>29</v>
      </c>
      <c r="B28" s="1">
        <v>20052</v>
      </c>
      <c r="C28" s="1" t="s">
        <v>5</v>
      </c>
      <c r="D28" s="20">
        <v>0</v>
      </c>
      <c r="E28" s="1" t="s">
        <v>6</v>
      </c>
      <c r="F28" s="20">
        <v>0.99998842592592596</v>
      </c>
      <c r="G28" s="1">
        <v>42.3</v>
      </c>
      <c r="H28" s="1">
        <v>61.4</v>
      </c>
      <c r="I28" s="1">
        <v>75</v>
      </c>
      <c r="J28" s="1">
        <v>-1</v>
      </c>
      <c r="K28" s="1">
        <v>-1</v>
      </c>
      <c r="L28" s="1">
        <v>-1</v>
      </c>
      <c r="M28" s="1">
        <v>85.4</v>
      </c>
      <c r="N28" s="1">
        <v>124.4</v>
      </c>
      <c r="O28" s="1">
        <v>151.5</v>
      </c>
      <c r="P28" s="1">
        <v>42.3</v>
      </c>
      <c r="Q28" s="1">
        <v>61.4</v>
      </c>
      <c r="R28" s="1">
        <v>75</v>
      </c>
      <c r="S28" s="1">
        <v>124.4</v>
      </c>
      <c r="T28" s="1">
        <v>151.5</v>
      </c>
      <c r="U28" s="1">
        <v>61.4</v>
      </c>
      <c r="V28" s="1">
        <v>75</v>
      </c>
      <c r="W28" s="1">
        <v>75</v>
      </c>
      <c r="X28" s="53">
        <v>45108</v>
      </c>
    </row>
    <row r="29" spans="1:24" x14ac:dyDescent="0.3">
      <c r="A29" s="1" t="s">
        <v>30</v>
      </c>
      <c r="B29" s="1">
        <v>20054</v>
      </c>
      <c r="C29" s="1" t="s">
        <v>5</v>
      </c>
      <c r="D29" s="20">
        <v>0</v>
      </c>
      <c r="E29" s="1" t="s">
        <v>6</v>
      </c>
      <c r="F29" s="20">
        <v>0.99998842592592596</v>
      </c>
      <c r="G29" s="1">
        <v>43.3</v>
      </c>
      <c r="H29" s="1">
        <v>63.6</v>
      </c>
      <c r="I29" s="1">
        <v>77.2</v>
      </c>
      <c r="J29" s="1">
        <v>-1</v>
      </c>
      <c r="K29" s="1">
        <v>-1</v>
      </c>
      <c r="L29" s="1">
        <v>-1</v>
      </c>
      <c r="M29" s="1">
        <v>87.6</v>
      </c>
      <c r="N29" s="1">
        <v>128.6</v>
      </c>
      <c r="O29" s="1">
        <v>156.4</v>
      </c>
      <c r="P29" s="1">
        <v>43.3</v>
      </c>
      <c r="Q29" s="1">
        <v>63.6</v>
      </c>
      <c r="R29" s="1">
        <v>77.2</v>
      </c>
      <c r="S29" s="1">
        <v>128.6</v>
      </c>
      <c r="T29" s="1">
        <v>156.4</v>
      </c>
      <c r="U29" s="1">
        <v>63.6</v>
      </c>
      <c r="V29" s="1">
        <v>77.2</v>
      </c>
      <c r="W29" s="1">
        <v>77.2</v>
      </c>
      <c r="X29" s="53">
        <v>45153</v>
      </c>
    </row>
    <row r="30" spans="1:24" x14ac:dyDescent="0.3">
      <c r="A30" s="1" t="s">
        <v>58</v>
      </c>
      <c r="B30" s="1">
        <v>20058</v>
      </c>
      <c r="C30" s="1" t="s">
        <v>5</v>
      </c>
      <c r="D30" s="20">
        <v>0</v>
      </c>
      <c r="E30" s="1" t="s">
        <v>6</v>
      </c>
      <c r="F30" s="20">
        <v>0.99998842592592596</v>
      </c>
      <c r="G30" s="1">
        <v>-1</v>
      </c>
      <c r="H30" s="1">
        <v>-1</v>
      </c>
      <c r="I30" s="1">
        <v>-1</v>
      </c>
      <c r="J30" s="1">
        <v>-1</v>
      </c>
      <c r="K30" s="1">
        <v>-1</v>
      </c>
      <c r="L30" s="1">
        <v>-1</v>
      </c>
      <c r="M30" s="1">
        <v>-1</v>
      </c>
      <c r="N30" s="1">
        <v>-1</v>
      </c>
      <c r="O30" s="1">
        <v>-1</v>
      </c>
      <c r="P30" s="1">
        <v>-1</v>
      </c>
      <c r="Q30" s="1">
        <v>-1</v>
      </c>
      <c r="R30" s="1">
        <v>-1</v>
      </c>
      <c r="S30" s="1">
        <v>-1</v>
      </c>
      <c r="T30" s="1">
        <v>-1</v>
      </c>
      <c r="U30" s="1">
        <v>-1</v>
      </c>
      <c r="V30" s="1">
        <v>-1</v>
      </c>
      <c r="W30" s="1">
        <v>-1</v>
      </c>
      <c r="X30" s="53">
        <v>45150</v>
      </c>
    </row>
    <row r="31" spans="1:24" x14ac:dyDescent="0.3">
      <c r="A31" s="1" t="s">
        <v>31</v>
      </c>
      <c r="B31" s="1">
        <v>20060</v>
      </c>
      <c r="C31" s="1" t="s">
        <v>5</v>
      </c>
      <c r="D31" s="20">
        <v>0</v>
      </c>
      <c r="E31" s="1" t="s">
        <v>6</v>
      </c>
      <c r="F31" s="20">
        <v>0.99998842592592596</v>
      </c>
      <c r="G31" s="1">
        <v>45</v>
      </c>
      <c r="H31" s="1">
        <v>65.900000000000006</v>
      </c>
      <c r="I31" s="1">
        <v>79.400000000000006</v>
      </c>
      <c r="J31" s="1">
        <v>-1</v>
      </c>
      <c r="K31" s="1">
        <v>-1</v>
      </c>
      <c r="L31" s="1">
        <v>-1</v>
      </c>
      <c r="M31" s="1">
        <v>90.9</v>
      </c>
      <c r="N31" s="1">
        <v>133.4</v>
      </c>
      <c r="O31" s="1">
        <v>160.9</v>
      </c>
      <c r="P31" s="1">
        <v>45</v>
      </c>
      <c r="Q31" s="1">
        <v>65.900000000000006</v>
      </c>
      <c r="R31" s="1">
        <v>79.400000000000006</v>
      </c>
      <c r="S31" s="1">
        <v>133.4</v>
      </c>
      <c r="T31" s="1">
        <v>160.9</v>
      </c>
      <c r="U31" s="1">
        <v>65.900000000000006</v>
      </c>
      <c r="V31" s="1">
        <v>79.400000000000006</v>
      </c>
      <c r="W31" s="1">
        <v>79.400000000000006</v>
      </c>
      <c r="X31" s="53">
        <v>45157</v>
      </c>
    </row>
    <row r="32" spans="1:24" x14ac:dyDescent="0.3">
      <c r="A32" s="1" t="s">
        <v>32</v>
      </c>
      <c r="B32" s="1">
        <v>21000</v>
      </c>
      <c r="C32" s="1" t="s">
        <v>5</v>
      </c>
      <c r="D32" s="20">
        <v>0</v>
      </c>
      <c r="E32" s="1" t="s">
        <v>6</v>
      </c>
      <c r="F32" s="20">
        <v>0.99998842592592596</v>
      </c>
      <c r="G32" s="1">
        <v>-1</v>
      </c>
      <c r="H32" s="1">
        <v>-1</v>
      </c>
      <c r="I32" s="1">
        <v>-1</v>
      </c>
      <c r="J32" s="1">
        <v>-1</v>
      </c>
      <c r="K32" s="1">
        <v>-1</v>
      </c>
      <c r="L32" s="1">
        <v>-1</v>
      </c>
      <c r="M32" s="1">
        <v>-1</v>
      </c>
      <c r="N32" s="1">
        <v>-1</v>
      </c>
      <c r="O32" s="1">
        <v>-1</v>
      </c>
      <c r="P32" s="1">
        <v>-1</v>
      </c>
      <c r="Q32" s="1">
        <v>-1</v>
      </c>
      <c r="R32" s="1">
        <v>-1</v>
      </c>
      <c r="S32" s="1">
        <v>-1</v>
      </c>
      <c r="T32" s="1">
        <v>-1</v>
      </c>
      <c r="U32" s="1">
        <v>-1</v>
      </c>
      <c r="V32" s="1">
        <v>-1</v>
      </c>
      <c r="W32" s="1">
        <v>-1</v>
      </c>
      <c r="X32" s="53">
        <v>45143</v>
      </c>
    </row>
    <row r="33" spans="1:24" x14ac:dyDescent="0.3">
      <c r="A33" s="1" t="s">
        <v>33</v>
      </c>
      <c r="B33" s="1">
        <v>21002</v>
      </c>
      <c r="C33" s="1" t="s">
        <v>5</v>
      </c>
      <c r="D33" s="20">
        <v>0</v>
      </c>
      <c r="E33" s="1" t="s">
        <v>6</v>
      </c>
      <c r="F33" s="20">
        <v>0.99998842592592596</v>
      </c>
      <c r="G33" s="1">
        <v>41.5</v>
      </c>
      <c r="H33" s="1">
        <v>61.4</v>
      </c>
      <c r="I33" s="1">
        <v>75</v>
      </c>
      <c r="J33" s="1">
        <v>-1</v>
      </c>
      <c r="K33" s="1">
        <v>-1</v>
      </c>
      <c r="L33" s="1">
        <v>-1</v>
      </c>
      <c r="M33" s="1">
        <v>84.6</v>
      </c>
      <c r="N33" s="1">
        <v>124.4</v>
      </c>
      <c r="O33" s="1">
        <v>151.5</v>
      </c>
      <c r="P33" s="1">
        <v>41.5</v>
      </c>
      <c r="Q33" s="1">
        <v>61.4</v>
      </c>
      <c r="R33" s="1">
        <v>75</v>
      </c>
      <c r="S33" s="1">
        <v>124.4</v>
      </c>
      <c r="T33" s="1">
        <v>151.5</v>
      </c>
      <c r="U33" s="1">
        <v>61.4</v>
      </c>
      <c r="V33" s="1">
        <v>75</v>
      </c>
      <c r="W33" s="1">
        <v>75</v>
      </c>
      <c r="X33" s="53">
        <v>45166</v>
      </c>
    </row>
    <row r="34" spans="1:24" x14ac:dyDescent="0.3">
      <c r="A34" s="1" t="s">
        <v>34</v>
      </c>
      <c r="B34" s="1">
        <v>21004</v>
      </c>
      <c r="C34" s="1" t="s">
        <v>5</v>
      </c>
      <c r="D34" s="20">
        <v>0</v>
      </c>
      <c r="E34" s="1" t="s">
        <v>6</v>
      </c>
      <c r="F34" s="20">
        <v>0.99998842592592596</v>
      </c>
      <c r="G34" s="1">
        <v>43.3</v>
      </c>
      <c r="H34" s="1">
        <v>63.6</v>
      </c>
      <c r="I34" s="1">
        <v>79.400000000000006</v>
      </c>
      <c r="J34" s="1">
        <v>-1</v>
      </c>
      <c r="K34" s="1">
        <v>-1</v>
      </c>
      <c r="L34" s="1">
        <v>-1</v>
      </c>
      <c r="M34" s="1">
        <v>87.6</v>
      </c>
      <c r="N34" s="1">
        <v>128.6</v>
      </c>
      <c r="O34" s="1">
        <v>160.9</v>
      </c>
      <c r="P34" s="1">
        <v>43.3</v>
      </c>
      <c r="Q34" s="1">
        <v>63.6</v>
      </c>
      <c r="R34" s="1">
        <v>79.400000000000006</v>
      </c>
      <c r="S34" s="1">
        <v>128.6</v>
      </c>
      <c r="T34" s="1">
        <v>160.9</v>
      </c>
      <c r="U34" s="1">
        <v>63.6</v>
      </c>
      <c r="V34" s="1">
        <v>79.400000000000006</v>
      </c>
      <c r="W34" s="1">
        <v>79.400000000000006</v>
      </c>
      <c r="X34" s="53">
        <v>45162</v>
      </c>
    </row>
    <row r="35" spans="1:24" x14ac:dyDescent="0.3">
      <c r="A35" s="1" t="s">
        <v>35</v>
      </c>
      <c r="B35" s="1">
        <v>21006</v>
      </c>
      <c r="C35" s="1" t="s">
        <v>5</v>
      </c>
      <c r="D35" s="20">
        <v>0</v>
      </c>
      <c r="E35" s="1" t="s">
        <v>6</v>
      </c>
      <c r="F35" s="20">
        <v>0.99998842592592596</v>
      </c>
      <c r="G35" s="1">
        <v>44.5</v>
      </c>
      <c r="H35" s="1">
        <v>65.900000000000006</v>
      </c>
      <c r="I35" s="1">
        <v>81.8</v>
      </c>
      <c r="J35" s="1">
        <v>-1</v>
      </c>
      <c r="K35" s="1">
        <v>-1</v>
      </c>
      <c r="L35" s="1">
        <v>-1</v>
      </c>
      <c r="M35" s="1">
        <v>89.9</v>
      </c>
      <c r="N35" s="1">
        <v>133.4</v>
      </c>
      <c r="O35" s="1">
        <v>165.3</v>
      </c>
      <c r="P35" s="1">
        <v>44.5</v>
      </c>
      <c r="Q35" s="1">
        <v>65.900000000000006</v>
      </c>
      <c r="R35" s="1">
        <v>81.8</v>
      </c>
      <c r="S35" s="1">
        <v>133.4</v>
      </c>
      <c r="T35" s="1">
        <v>165.3</v>
      </c>
      <c r="U35" s="1">
        <v>65.900000000000006</v>
      </c>
      <c r="V35" s="1">
        <v>81.8</v>
      </c>
      <c r="W35" s="1">
        <v>81.8</v>
      </c>
      <c r="X35" s="53">
        <v>45160</v>
      </c>
    </row>
    <row r="36" spans="1:24" x14ac:dyDescent="0.3">
      <c r="A36" s="1" t="s">
        <v>36</v>
      </c>
      <c r="B36" s="1">
        <v>21008</v>
      </c>
      <c r="C36" s="1" t="s">
        <v>5</v>
      </c>
      <c r="D36" s="20">
        <v>0</v>
      </c>
      <c r="E36" s="1" t="s">
        <v>6</v>
      </c>
      <c r="F36" s="20">
        <v>0.99998842592592596</v>
      </c>
      <c r="G36" s="1">
        <v>47.3</v>
      </c>
      <c r="H36" s="1">
        <v>70.400000000000006</v>
      </c>
      <c r="I36" s="1">
        <v>86.4</v>
      </c>
      <c r="J36" s="1">
        <v>-1</v>
      </c>
      <c r="K36" s="1">
        <v>-1</v>
      </c>
      <c r="L36" s="1">
        <v>-1</v>
      </c>
      <c r="M36" s="1">
        <v>95.6</v>
      </c>
      <c r="N36" s="1">
        <v>142.5</v>
      </c>
      <c r="O36" s="1">
        <v>174.2</v>
      </c>
      <c r="P36" s="1">
        <v>47.3</v>
      </c>
      <c r="Q36" s="1">
        <v>70.400000000000006</v>
      </c>
      <c r="R36" s="1">
        <v>86.4</v>
      </c>
      <c r="S36" s="1">
        <v>142.5</v>
      </c>
      <c r="T36" s="1">
        <v>174.2</v>
      </c>
      <c r="U36" s="1">
        <v>70.400000000000006</v>
      </c>
      <c r="V36" s="1">
        <v>86.4</v>
      </c>
      <c r="W36" s="1">
        <v>86.4</v>
      </c>
      <c r="X36" s="53">
        <v>45179</v>
      </c>
    </row>
    <row r="37" spans="1:24" x14ac:dyDescent="0.3">
      <c r="A37" s="1" t="s">
        <v>42</v>
      </c>
      <c r="B37" s="1">
        <v>21010</v>
      </c>
      <c r="C37" s="1" t="s">
        <v>5</v>
      </c>
      <c r="D37" s="20">
        <v>0</v>
      </c>
      <c r="E37" s="1" t="s">
        <v>6</v>
      </c>
      <c r="F37" s="20">
        <v>0.99998842592592596</v>
      </c>
      <c r="G37" s="1">
        <v>48.3</v>
      </c>
      <c r="H37" s="1">
        <v>72</v>
      </c>
      <c r="I37" s="1">
        <v>89</v>
      </c>
      <c r="J37" s="1">
        <v>-1</v>
      </c>
      <c r="K37" s="1">
        <v>-1</v>
      </c>
      <c r="L37" s="1">
        <v>-1</v>
      </c>
      <c r="M37" s="1">
        <v>97.9</v>
      </c>
      <c r="N37" s="1">
        <v>145.5</v>
      </c>
      <c r="O37" s="1">
        <v>179.8</v>
      </c>
      <c r="P37" s="1">
        <v>48.3</v>
      </c>
      <c r="Q37" s="1">
        <v>72</v>
      </c>
      <c r="R37" s="1">
        <v>89</v>
      </c>
      <c r="S37" s="1">
        <v>145.5</v>
      </c>
      <c r="T37" s="1">
        <v>179.8</v>
      </c>
      <c r="U37" s="1">
        <v>72</v>
      </c>
      <c r="V37" s="1">
        <v>89</v>
      </c>
      <c r="W37" s="1">
        <v>89</v>
      </c>
      <c r="X37" s="53">
        <v>45157</v>
      </c>
    </row>
    <row r="38" spans="1:24" x14ac:dyDescent="0.3">
      <c r="A38" s="1" t="s">
        <v>37</v>
      </c>
      <c r="B38" s="1">
        <v>21012</v>
      </c>
      <c r="C38" s="1" t="s">
        <v>5</v>
      </c>
      <c r="D38" s="20">
        <v>0</v>
      </c>
      <c r="E38" s="1" t="s">
        <v>6</v>
      </c>
      <c r="F38" s="20">
        <v>0.99998842592592596</v>
      </c>
      <c r="G38" s="1">
        <v>49.1</v>
      </c>
      <c r="H38" s="1">
        <v>72.8</v>
      </c>
      <c r="I38" s="1">
        <v>90.9</v>
      </c>
      <c r="J38" s="1">
        <v>-1</v>
      </c>
      <c r="K38" s="1">
        <v>-1</v>
      </c>
      <c r="L38" s="1">
        <v>-1</v>
      </c>
      <c r="M38" s="1">
        <v>99.5</v>
      </c>
      <c r="N38" s="1">
        <v>146.80000000000001</v>
      </c>
      <c r="O38" s="1">
        <v>183.5</v>
      </c>
      <c r="P38" s="1">
        <v>49.1</v>
      </c>
      <c r="Q38" s="1">
        <v>72.8</v>
      </c>
      <c r="R38" s="1">
        <v>90.9</v>
      </c>
      <c r="S38" s="1">
        <v>146.80000000000001</v>
      </c>
      <c r="T38" s="1">
        <v>183.5</v>
      </c>
      <c r="U38" s="1">
        <v>72.8</v>
      </c>
      <c r="V38" s="1">
        <v>90.9</v>
      </c>
      <c r="W38" s="1">
        <v>90.9</v>
      </c>
      <c r="X38" s="53">
        <v>45143</v>
      </c>
    </row>
    <row r="39" spans="1:24" x14ac:dyDescent="0.3">
      <c r="A39" s="1" t="s">
        <v>38</v>
      </c>
      <c r="B39" s="1">
        <v>21014</v>
      </c>
      <c r="C39" s="1" t="s">
        <v>5</v>
      </c>
      <c r="D39" s="20">
        <v>0</v>
      </c>
      <c r="E39" s="1" t="s">
        <v>6</v>
      </c>
      <c r="F39" s="20">
        <v>0.99998842592592596</v>
      </c>
      <c r="G39" s="1">
        <v>50.6</v>
      </c>
      <c r="H39" s="1">
        <v>75</v>
      </c>
      <c r="I39" s="1">
        <v>93.1</v>
      </c>
      <c r="J39" s="1">
        <v>-1</v>
      </c>
      <c r="K39" s="1">
        <v>-1</v>
      </c>
      <c r="L39" s="1">
        <v>-1</v>
      </c>
      <c r="M39" s="1">
        <v>102.6</v>
      </c>
      <c r="N39" s="1">
        <v>151.5</v>
      </c>
      <c r="O39" s="1">
        <v>188.1</v>
      </c>
      <c r="P39" s="1">
        <v>50.6</v>
      </c>
      <c r="Q39" s="1">
        <v>75</v>
      </c>
      <c r="R39" s="1">
        <v>93.1</v>
      </c>
      <c r="S39" s="1">
        <v>151.5</v>
      </c>
      <c r="T39" s="1">
        <v>188.1</v>
      </c>
      <c r="U39" s="1">
        <v>75</v>
      </c>
      <c r="V39" s="1">
        <v>93.1</v>
      </c>
      <c r="W39" s="1">
        <v>93.1</v>
      </c>
      <c r="X39" s="53">
        <v>45166</v>
      </c>
    </row>
    <row r="40" spans="1:24" x14ac:dyDescent="0.3">
      <c r="A40" s="1" t="s">
        <v>39</v>
      </c>
      <c r="B40" s="1">
        <v>21016</v>
      </c>
      <c r="C40" s="1" t="s">
        <v>5</v>
      </c>
      <c r="D40" s="20">
        <v>0</v>
      </c>
      <c r="E40" s="1" t="s">
        <v>6</v>
      </c>
      <c r="F40" s="20">
        <v>0.99998842592592596</v>
      </c>
      <c r="G40" s="1">
        <v>51.8</v>
      </c>
      <c r="H40" s="1">
        <v>77.2</v>
      </c>
      <c r="I40" s="1">
        <v>93.1</v>
      </c>
      <c r="J40" s="1">
        <v>-1</v>
      </c>
      <c r="K40" s="1">
        <v>-1</v>
      </c>
      <c r="L40" s="1">
        <v>-1</v>
      </c>
      <c r="M40" s="1">
        <v>104.5</v>
      </c>
      <c r="N40" s="1">
        <v>156.4</v>
      </c>
      <c r="O40" s="1">
        <v>188.1</v>
      </c>
      <c r="P40" s="1">
        <v>51.8</v>
      </c>
      <c r="Q40" s="1">
        <v>77.2</v>
      </c>
      <c r="R40" s="1">
        <v>93.1</v>
      </c>
      <c r="S40" s="1">
        <v>156.4</v>
      </c>
      <c r="T40" s="1">
        <v>188.1</v>
      </c>
      <c r="U40" s="1">
        <v>77.2</v>
      </c>
      <c r="V40" s="1">
        <v>93.1</v>
      </c>
      <c r="W40" s="1">
        <v>93.1</v>
      </c>
      <c r="X40" s="53">
        <v>45162</v>
      </c>
    </row>
    <row r="41" spans="1:24" ht="25.8" x14ac:dyDescent="0.5">
      <c r="F41" s="65" t="s">
        <v>160</v>
      </c>
      <c r="G41" s="65"/>
      <c r="H41" s="52">
        <f xml:space="preserve"> SUMIF(H2:H40,"&gt;20")</f>
        <v>1473.0000000000002</v>
      </c>
    </row>
  </sheetData>
  <mergeCells count="1">
    <mergeCell ref="F41:G41"/>
  </mergeCells>
  <conditionalFormatting sqref="A1:A1048576">
    <cfRule type="duplicateValues" dxfId="3" priority="4"/>
  </conditionalFormatting>
  <conditionalFormatting sqref="B1:B1048576">
    <cfRule type="duplicateValues" dxfId="2" priority="3"/>
  </conditionalFormatting>
  <conditionalFormatting sqref="G2:X40">
    <cfRule type="cellIs" dxfId="1" priority="1" operator="equal">
      <formula>0</formula>
    </cfRule>
    <cfRule type="cellIs" dxfId="0" priority="2" operator="equal">
      <formula>-1</formula>
    </cfRule>
  </conditionalFormatting>
  <pageMargins left="0.75" right="0.75" top="1" bottom="1" header="0.5" footer="0.5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80C1A1-DE1C-D845-B529-211E46D996F0}">
  <dimension ref="A1:G30"/>
  <sheetViews>
    <sheetView zoomScaleNormal="100" workbookViewId="0">
      <selection activeCell="F9" sqref="F9"/>
    </sheetView>
  </sheetViews>
  <sheetFormatPr defaultColWidth="11" defaultRowHeight="13.8" x14ac:dyDescent="0.3"/>
  <cols>
    <col min="1" max="1" width="18.5546875" style="2" bestFit="1" customWidth="1"/>
    <col min="2" max="6" width="15.44140625" style="2" customWidth="1"/>
    <col min="7" max="7" width="11" style="2"/>
    <col min="8" max="8" width="14.44140625" style="2" bestFit="1" customWidth="1"/>
    <col min="9" max="16384" width="11" style="2"/>
  </cols>
  <sheetData>
    <row r="1" spans="1:7" s="37" customFormat="1" ht="21" x14ac:dyDescent="0.4">
      <c r="A1" s="38" t="s">
        <v>55</v>
      </c>
      <c r="B1" s="37" t="s">
        <v>165</v>
      </c>
    </row>
    <row r="2" spans="1:7" s="37" customFormat="1" ht="21" x14ac:dyDescent="0.4">
      <c r="B2" s="37" t="s">
        <v>162</v>
      </c>
    </row>
    <row r="3" spans="1:7" ht="14.4" x14ac:dyDescent="0.3">
      <c r="A3" s="1"/>
      <c r="B3" s="1"/>
      <c r="C3" s="1"/>
      <c r="D3" s="1"/>
      <c r="E3" s="1"/>
      <c r="F3" s="1"/>
      <c r="G3" s="1"/>
    </row>
    <row r="4" spans="1:7" ht="23.4" x14ac:dyDescent="0.45">
      <c r="A4" s="14" t="s">
        <v>163</v>
      </c>
      <c r="B4" s="1"/>
      <c r="C4" s="1"/>
      <c r="D4" s="1"/>
      <c r="E4" s="1"/>
      <c r="F4" s="1"/>
      <c r="G4" s="1"/>
    </row>
    <row r="5" spans="1:7" ht="14.4" x14ac:dyDescent="0.3">
      <c r="A5" s="16" t="s">
        <v>64</v>
      </c>
      <c r="B5" s="17" t="s">
        <v>79</v>
      </c>
      <c r="C5" s="18" t="s">
        <v>71</v>
      </c>
      <c r="D5" s="17" t="s">
        <v>75</v>
      </c>
      <c r="E5" s="18" t="s">
        <v>76</v>
      </c>
      <c r="F5" s="19" t="s">
        <v>77</v>
      </c>
    </row>
    <row r="6" spans="1:7" ht="14.4" x14ac:dyDescent="0.3">
      <c r="A6" s="5" t="s">
        <v>40</v>
      </c>
      <c r="B6" s="8">
        <f>VLOOKUP(A6,Dataset!A2:X40,7,0)</f>
        <v>2.7</v>
      </c>
      <c r="C6" s="8">
        <f>VLOOKUP(A6,Dataset!A2:X40,14,0)</f>
        <v>7.6</v>
      </c>
      <c r="D6" s="8">
        <f>VLOOKUP(A6,Dataset!A2:X40,18,0)</f>
        <v>4.2</v>
      </c>
      <c r="E6" s="8">
        <f>VLOOKUP(A6,Dataset!A2:X40,20,0)</f>
        <v>8.9</v>
      </c>
      <c r="F6" s="8">
        <f>VLOOKUP(A6,Dataset!A2:X40,22,0)</f>
        <v>4.2</v>
      </c>
    </row>
    <row r="7" spans="1:7" ht="14.4" x14ac:dyDescent="0.3">
      <c r="A7" s="5" t="s">
        <v>4</v>
      </c>
      <c r="B7" s="8">
        <f>VLOOKUP(A7,Dataset!A3:X41,7,0)</f>
        <v>2.7</v>
      </c>
      <c r="C7" s="8">
        <f>VLOOKUP(A7,Dataset!A3:X41,14,0)</f>
        <v>7.6</v>
      </c>
      <c r="D7" s="8">
        <f>VLOOKUP(A7,Dataset!A3:X41,18,0)</f>
        <v>4.2</v>
      </c>
      <c r="E7" s="8">
        <f>VLOOKUP(A7,Dataset!A3:X41,20,0)</f>
        <v>8.9</v>
      </c>
      <c r="F7" s="8">
        <f>VLOOKUP(A7,Dataset!A3:X41,22,0)</f>
        <v>4.2</v>
      </c>
    </row>
    <row r="8" spans="1:7" ht="14.4" x14ac:dyDescent="0.3">
      <c r="A8" s="5" t="s">
        <v>7</v>
      </c>
      <c r="B8" s="8">
        <f>VLOOKUP(A8,Dataset!A4:X42,7,0)</f>
        <v>3.6</v>
      </c>
      <c r="C8" s="8">
        <f>VLOOKUP(A8,Dataset!A4:X42,14,0)</f>
        <v>11.1</v>
      </c>
      <c r="D8" s="8">
        <f>VLOOKUP(A8,Dataset!A4:X42,18,0)</f>
        <v>5.8</v>
      </c>
      <c r="E8" s="8">
        <f>VLOOKUP(A8,Dataset!A4:X42,20,0)</f>
        <v>12.2</v>
      </c>
      <c r="F8" s="8">
        <f>VLOOKUP(A8,Dataset!A4:X42,22,0)</f>
        <v>5.8</v>
      </c>
    </row>
    <row r="9" spans="1:7" ht="14.4" x14ac:dyDescent="0.3">
      <c r="A9" s="5" t="s">
        <v>8</v>
      </c>
      <c r="B9" s="8">
        <f>VLOOKUP(A9,Dataset!A5:X43,7,0)</f>
        <v>4.9000000000000004</v>
      </c>
      <c r="C9" s="8">
        <f>VLOOKUP(A9,Dataset!A5:X43,14,0)</f>
        <v>13.3</v>
      </c>
      <c r="D9" s="8">
        <f>VLOOKUP(A9,Dataset!A5:X43,18,0)</f>
        <v>8.1</v>
      </c>
      <c r="E9" s="8">
        <f>VLOOKUP(A9,Dataset!A5:X43,20,0)</f>
        <v>17</v>
      </c>
      <c r="F9" s="8">
        <f>VLOOKUP(A9,Dataset!A5:X43,22,0)</f>
        <v>8.1</v>
      </c>
    </row>
    <row r="10" spans="1:7" ht="14.4" x14ac:dyDescent="0.3">
      <c r="A10" s="5" t="s">
        <v>11</v>
      </c>
      <c r="B10" s="8">
        <f>VLOOKUP(A10,Dataset!A6:X44,7,0)</f>
        <v>9.4</v>
      </c>
      <c r="C10" s="8">
        <f>VLOOKUP(A10,Dataset!A6:X44,14,0)</f>
        <v>28.3</v>
      </c>
      <c r="D10" s="8">
        <f>VLOOKUP(A10,Dataset!A6:X44,18,0)</f>
        <v>16.100000000000001</v>
      </c>
      <c r="E10" s="8">
        <f>VLOOKUP(A10,Dataset!A6:X44,20,0)</f>
        <v>32.799999999999997</v>
      </c>
      <c r="F10" s="8">
        <f>VLOOKUP(A10,Dataset!A6:X44,22,0)</f>
        <v>16.100000000000001</v>
      </c>
    </row>
    <row r="11" spans="1:7" ht="14.4" x14ac:dyDescent="0.3">
      <c r="A11" s="5" t="s">
        <v>12</v>
      </c>
      <c r="B11" s="8">
        <f>VLOOKUP(A11,Dataset!A7:X45,7,0)</f>
        <v>11.6</v>
      </c>
      <c r="C11" s="8">
        <f>VLOOKUP(A11,Dataset!A7:X45,14,0)</f>
        <v>35.200000000000003</v>
      </c>
      <c r="D11" s="8">
        <f>VLOOKUP(A11,Dataset!A7:X45,18,0)</f>
        <v>21.3</v>
      </c>
      <c r="E11" s="8">
        <f>VLOOKUP(A11,Dataset!A7:X45,20,0)</f>
        <v>43</v>
      </c>
      <c r="F11" s="8">
        <f>VLOOKUP(A11,Dataset!A7:X45,22,0)</f>
        <v>21.3</v>
      </c>
    </row>
    <row r="12" spans="1:7" ht="14.4" x14ac:dyDescent="0.3">
      <c r="A12" s="5" t="s">
        <v>14</v>
      </c>
      <c r="B12" s="8">
        <f>VLOOKUP(A12,Dataset!A8:X46,7,0)</f>
        <v>18.399999999999999</v>
      </c>
      <c r="C12" s="8">
        <f>VLOOKUP(A12,Dataset!A8:X46,14,0)</f>
        <v>55.6</v>
      </c>
      <c r="D12" s="8">
        <f>VLOOKUP(A12,Dataset!A8:X46,18,0)</f>
        <v>33.799999999999997</v>
      </c>
      <c r="E12" s="8">
        <f>VLOOKUP(A12,Dataset!A8:X46,20,0)</f>
        <v>67.900000000000006</v>
      </c>
      <c r="F12" s="8">
        <f>VLOOKUP(A12,Dataset!A8:X46,22,0)</f>
        <v>33.799999999999997</v>
      </c>
    </row>
    <row r="13" spans="1:7" ht="14.4" x14ac:dyDescent="0.3">
      <c r="A13" s="5" t="s">
        <v>15</v>
      </c>
      <c r="B13" s="8">
        <f>VLOOKUP(A13,Dataset!A9:X47,7,0)</f>
        <v>0</v>
      </c>
      <c r="C13" s="8">
        <f>VLOOKUP(A13,Dataset!A9:X47,14,0)</f>
        <v>0</v>
      </c>
      <c r="D13" s="8">
        <f>VLOOKUP(A13,Dataset!A9:X47,18,0)</f>
        <v>0</v>
      </c>
      <c r="E13" s="8">
        <f>VLOOKUP(A13,Dataset!A9:X47,20,0)</f>
        <v>0</v>
      </c>
      <c r="F13" s="8">
        <f>VLOOKUP(A13,Dataset!A9:X47,22,0)</f>
        <v>0</v>
      </c>
    </row>
    <row r="14" spans="1:7" ht="14.4" x14ac:dyDescent="0.3">
      <c r="A14" s="5" t="s">
        <v>16</v>
      </c>
      <c r="B14" s="8">
        <f>VLOOKUP(A14,Dataset!A10:X48,7,0)</f>
        <v>21.9</v>
      </c>
      <c r="C14" s="8">
        <f>VLOOKUP(A14,Dataset!A10:X48,14,0)</f>
        <v>61.5</v>
      </c>
      <c r="D14" s="8">
        <f>VLOOKUP(A14,Dataset!A10:X48,18,0)</f>
        <v>40.1</v>
      </c>
      <c r="E14" s="8">
        <f>VLOOKUP(A14,Dataset!A10:X48,20,0)</f>
        <v>76.599999999999994</v>
      </c>
      <c r="F14" s="8">
        <f>VLOOKUP(A14,Dataset!A10:X48,22,0)</f>
        <v>40.1</v>
      </c>
    </row>
    <row r="15" spans="1:7" ht="14.4" x14ac:dyDescent="0.3">
      <c r="A15" s="5" t="s">
        <v>18</v>
      </c>
      <c r="B15" s="8">
        <f>VLOOKUP(A15,Dataset!A11:X49,7,0)</f>
        <v>26.8</v>
      </c>
      <c r="C15" s="8">
        <f>VLOOKUP(A15,Dataset!A11:X49,14,0)</f>
        <v>79.599999999999994</v>
      </c>
      <c r="D15" s="8">
        <f>VLOOKUP(A15,Dataset!A11:X49,18,0)</f>
        <v>47.9</v>
      </c>
      <c r="E15" s="8">
        <f>VLOOKUP(A15,Dataset!A11:X49,20,0)</f>
        <v>96.8</v>
      </c>
      <c r="F15" s="8">
        <f>VLOOKUP(A15,Dataset!A11:X49,22,0)</f>
        <v>47.9</v>
      </c>
    </row>
    <row r="16" spans="1:7" ht="14.4" x14ac:dyDescent="0.3">
      <c r="A16" s="5" t="s">
        <v>20</v>
      </c>
      <c r="B16" s="8">
        <f>VLOOKUP(A16,Dataset!A12:X50,7,0)</f>
        <v>28.5</v>
      </c>
      <c r="C16" s="8">
        <f>VLOOKUP(A16,Dataset!A12:X50,14,0)</f>
        <v>85.4</v>
      </c>
      <c r="D16" s="8">
        <f>VLOOKUP(A16,Dataset!A12:X50,18,0)</f>
        <v>52.3</v>
      </c>
      <c r="E16" s="8">
        <f>VLOOKUP(A16,Dataset!A12:X50,20,0)</f>
        <v>106.1</v>
      </c>
      <c r="F16" s="8">
        <f>VLOOKUP(A16,Dataset!A12:X50,22,0)</f>
        <v>52.3</v>
      </c>
    </row>
    <row r="17" spans="1:6" ht="14.4" x14ac:dyDescent="0.3">
      <c r="A17" s="5" t="s">
        <v>22</v>
      </c>
      <c r="B17" s="8">
        <f>VLOOKUP(A17,Dataset!A13:X51,7,0)</f>
        <v>30.7</v>
      </c>
      <c r="C17" s="8">
        <f>VLOOKUP(A17,Dataset!A13:X51,14,0)</f>
        <v>92.1</v>
      </c>
      <c r="D17" s="8">
        <f>VLOOKUP(A17,Dataset!A13:X51,18,0)</f>
        <v>57</v>
      </c>
      <c r="E17" s="8">
        <f>VLOOKUP(A17,Dataset!A13:X51,20,0)</f>
        <v>115.1</v>
      </c>
      <c r="F17" s="8">
        <f>VLOOKUP(A17,Dataset!A13:X51,22,0)</f>
        <v>57</v>
      </c>
    </row>
    <row r="18" spans="1:6" ht="14.4" x14ac:dyDescent="0.3">
      <c r="A18" s="5" t="s">
        <v>23</v>
      </c>
      <c r="B18" s="8">
        <f>VLOOKUP(A18,Dataset!A14:X52,7,0)</f>
        <v>33.799999999999997</v>
      </c>
      <c r="C18" s="8">
        <f>VLOOKUP(A18,Dataset!A14:X52,14,0)</f>
        <v>101.3</v>
      </c>
      <c r="D18" s="8">
        <f>VLOOKUP(A18,Dataset!A14:X52,18,0)</f>
        <v>61.4</v>
      </c>
      <c r="E18" s="8">
        <f>VLOOKUP(A18,Dataset!A14:X52,20,0)</f>
        <v>124.4</v>
      </c>
      <c r="F18" s="8">
        <f>VLOOKUP(A18,Dataset!A14:X52,22,0)</f>
        <v>61.4</v>
      </c>
    </row>
    <row r="19" spans="1:6" ht="14.4" x14ac:dyDescent="0.3">
      <c r="A19" s="5" t="s">
        <v>24</v>
      </c>
      <c r="B19" s="8">
        <f>VLOOKUP(A19,Dataset!A15:X53,7,0)</f>
        <v>34.700000000000003</v>
      </c>
      <c r="C19" s="8">
        <f>VLOOKUP(A19,Dataset!A15:X53,14,0)</f>
        <v>106.1</v>
      </c>
      <c r="D19" s="8">
        <f>VLOOKUP(A19,Dataset!A15:X53,18,0)</f>
        <v>63.6</v>
      </c>
      <c r="E19" s="8">
        <f>VLOOKUP(A19,Dataset!A15:X53,20,0)</f>
        <v>128.6</v>
      </c>
      <c r="F19" s="8">
        <f>VLOOKUP(A19,Dataset!A15:X53,22,0)</f>
        <v>63.6</v>
      </c>
    </row>
    <row r="20" spans="1:6" ht="14.4" x14ac:dyDescent="0.3">
      <c r="A20" s="5" t="s">
        <v>28</v>
      </c>
      <c r="B20" s="8">
        <f>VLOOKUP(A20,Dataset!A16:X54,7,0)</f>
        <v>0</v>
      </c>
      <c r="C20" s="8">
        <f>VLOOKUP(A20,Dataset!A16:X54,14,0)</f>
        <v>0</v>
      </c>
      <c r="D20" s="8">
        <f>VLOOKUP(A20,Dataset!A16:X54,18,0)</f>
        <v>0</v>
      </c>
      <c r="E20" s="8">
        <f>VLOOKUP(A20,Dataset!A16:X54,20,0)</f>
        <v>0</v>
      </c>
      <c r="F20" s="8">
        <f>VLOOKUP(A20,Dataset!A16:X54,22,0)</f>
        <v>0</v>
      </c>
    </row>
    <row r="21" spans="1:6" ht="14.4" x14ac:dyDescent="0.3">
      <c r="A21" s="5" t="s">
        <v>57</v>
      </c>
      <c r="B21" s="8">
        <f>VLOOKUP(A21,Dataset!A17:X55,7,0)</f>
        <v>41.3</v>
      </c>
      <c r="C21" s="8">
        <f>VLOOKUP(A21,Dataset!A17:X55,14,0)</f>
        <v>124.4</v>
      </c>
      <c r="D21" s="8">
        <f>VLOOKUP(A21,Dataset!A17:X55,18,0)</f>
        <v>75</v>
      </c>
      <c r="E21" s="8">
        <f>VLOOKUP(A21,Dataset!A17:X55,20,0)</f>
        <v>151.5</v>
      </c>
      <c r="F21" s="8">
        <f>VLOOKUP(A21,Dataset!A17:X55,22,0)</f>
        <v>75</v>
      </c>
    </row>
    <row r="22" spans="1:6" ht="14.4" x14ac:dyDescent="0.3">
      <c r="A22" s="5" t="s">
        <v>58</v>
      </c>
      <c r="B22" s="8">
        <f>VLOOKUP(A22,Dataset!A18:X56,7,0)</f>
        <v>-1</v>
      </c>
      <c r="C22" s="8">
        <f>VLOOKUP(A22,Dataset!A18:X56,14,0)</f>
        <v>-1</v>
      </c>
      <c r="D22" s="8">
        <f>VLOOKUP(A22,Dataset!A18:X56,18,0)</f>
        <v>-1</v>
      </c>
      <c r="E22" s="8">
        <f>VLOOKUP(A22,Dataset!A18:X56,20,0)</f>
        <v>-1</v>
      </c>
      <c r="F22" s="8">
        <f>VLOOKUP(A22,Dataset!A18:X56,22,0)</f>
        <v>-1</v>
      </c>
    </row>
    <row r="23" spans="1:6" ht="14.4" x14ac:dyDescent="0.3">
      <c r="A23" s="5" t="s">
        <v>31</v>
      </c>
      <c r="B23" s="8">
        <f>VLOOKUP(A23,Dataset!A19:X57,7,0)</f>
        <v>45</v>
      </c>
      <c r="C23" s="8">
        <f>VLOOKUP(A23,Dataset!A19:X57,14,0)</f>
        <v>133.4</v>
      </c>
      <c r="D23" s="8">
        <f>VLOOKUP(A23,Dataset!A19:X57,18,0)</f>
        <v>79.400000000000006</v>
      </c>
      <c r="E23" s="8">
        <f>VLOOKUP(A23,Dataset!A19:X57,20,0)</f>
        <v>160.9</v>
      </c>
      <c r="F23" s="8">
        <f>VLOOKUP(A23,Dataset!A19:X57,22,0)</f>
        <v>79.400000000000006</v>
      </c>
    </row>
    <row r="24" spans="1:6" ht="14.4" x14ac:dyDescent="0.3">
      <c r="A24" s="5" t="s">
        <v>32</v>
      </c>
      <c r="B24" s="8">
        <f>VLOOKUP(A24,Dataset!A20:X58,7,0)</f>
        <v>-1</v>
      </c>
      <c r="C24" s="8">
        <f>VLOOKUP(A24,Dataset!A20:X58,14,0)</f>
        <v>-1</v>
      </c>
      <c r="D24" s="8">
        <f>VLOOKUP(A24,Dataset!A20:X58,18,0)</f>
        <v>-1</v>
      </c>
      <c r="E24" s="8">
        <f>VLOOKUP(A24,Dataset!A20:X58,20,0)</f>
        <v>-1</v>
      </c>
      <c r="F24" s="8">
        <f>VLOOKUP(A24,Dataset!A20:X58,22,0)</f>
        <v>-1</v>
      </c>
    </row>
    <row r="25" spans="1:6" ht="14.4" x14ac:dyDescent="0.3">
      <c r="A25" s="5" t="s">
        <v>34</v>
      </c>
      <c r="B25" s="8">
        <f>VLOOKUP(A25,Dataset!A21:X59,7,0)</f>
        <v>43.3</v>
      </c>
      <c r="C25" s="8">
        <f>VLOOKUP(A25,Dataset!A21:X59,14,0)</f>
        <v>128.6</v>
      </c>
      <c r="D25" s="8">
        <f>VLOOKUP(A25,Dataset!A21:X59,18,0)</f>
        <v>79.400000000000006</v>
      </c>
      <c r="E25" s="8">
        <f>VLOOKUP(A25,Dataset!A21:X59,20,0)</f>
        <v>160.9</v>
      </c>
      <c r="F25" s="8">
        <f>VLOOKUP(A25,Dataset!A21:X59,22,0)</f>
        <v>79.400000000000006</v>
      </c>
    </row>
    <row r="26" spans="1:6" ht="14.4" x14ac:dyDescent="0.3">
      <c r="A26" s="5" t="s">
        <v>37</v>
      </c>
      <c r="B26" s="8">
        <f>VLOOKUP(A26,Dataset!A22:X60,7,0)</f>
        <v>49.1</v>
      </c>
      <c r="C26" s="8">
        <f>VLOOKUP(A26,Dataset!A22:X60,14,0)</f>
        <v>146.80000000000001</v>
      </c>
      <c r="D26" s="8">
        <f>VLOOKUP(A26,Dataset!A22:X60,18,0)</f>
        <v>90.9</v>
      </c>
      <c r="E26" s="8">
        <f>VLOOKUP(A26,Dataset!A22:X60,20,0)</f>
        <v>183.5</v>
      </c>
      <c r="F26" s="8">
        <f>VLOOKUP(A26,Dataset!A22:X60,22,0)</f>
        <v>90.9</v>
      </c>
    </row>
    <row r="27" spans="1:6" ht="14.4" x14ac:dyDescent="0.3">
      <c r="A27" s="5" t="s">
        <v>39</v>
      </c>
      <c r="B27" s="8">
        <f>VLOOKUP(A27,Dataset!A23:X61,7,0)</f>
        <v>51.8</v>
      </c>
      <c r="C27" s="8">
        <f>VLOOKUP(A27,Dataset!A23:X61,14,0)</f>
        <v>156.4</v>
      </c>
      <c r="D27" s="8">
        <f>VLOOKUP(A27,Dataset!A23:X61,18,0)</f>
        <v>93.1</v>
      </c>
      <c r="E27" s="8">
        <f>VLOOKUP(A27,Dataset!A23:X61,20,0)</f>
        <v>188.1</v>
      </c>
      <c r="F27" s="8">
        <f>VLOOKUP(A27,Dataset!A23:X61,22,0)</f>
        <v>93.1</v>
      </c>
    </row>
    <row r="28" spans="1:6" ht="14.4" x14ac:dyDescent="0.3">
      <c r="A28" s="15" t="s">
        <v>82</v>
      </c>
      <c r="B28" s="28">
        <f>MIN(B6:B27)</f>
        <v>-1</v>
      </c>
      <c r="C28" s="28">
        <f>MIN(C6:C27)</f>
        <v>-1</v>
      </c>
      <c r="D28" s="28">
        <f t="shared" ref="D28:F28" si="0">MIN(D6:D27)</f>
        <v>-1</v>
      </c>
      <c r="E28" s="28">
        <f t="shared" si="0"/>
        <v>-1</v>
      </c>
      <c r="F28" s="28">
        <f t="shared" si="0"/>
        <v>-1</v>
      </c>
    </row>
    <row r="29" spans="1:6" ht="14.4" x14ac:dyDescent="0.3">
      <c r="A29" s="15" t="s">
        <v>83</v>
      </c>
      <c r="B29" s="28">
        <f>MAX(B6:B27)</f>
        <v>51.8</v>
      </c>
      <c r="C29" s="28">
        <f t="shared" ref="C29:F29" si="1">MAX(C6:C27)</f>
        <v>156.4</v>
      </c>
      <c r="D29" s="28">
        <f t="shared" si="1"/>
        <v>93.1</v>
      </c>
      <c r="E29" s="28">
        <f>MAX(E6:E27)</f>
        <v>188.1</v>
      </c>
      <c r="F29" s="28">
        <f t="shared" si="1"/>
        <v>93.1</v>
      </c>
    </row>
    <row r="30" spans="1:6" ht="14.4" x14ac:dyDescent="0.3">
      <c r="A30" s="15" t="s">
        <v>84</v>
      </c>
      <c r="B30" s="28">
        <f>AVERAGE(B6:B27)</f>
        <v>20.827272727272728</v>
      </c>
      <c r="C30" s="28">
        <f t="shared" ref="C30:F30" si="2">AVERAGE(C6:C27)</f>
        <v>62.377272727272725</v>
      </c>
      <c r="D30" s="28">
        <f t="shared" si="2"/>
        <v>37.800000000000004</v>
      </c>
      <c r="E30" s="28">
        <f t="shared" si="2"/>
        <v>76.418181818181822</v>
      </c>
      <c r="F30" s="28">
        <f t="shared" si="2"/>
        <v>37.800000000000004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D6CF3FD-6C65-9F49-B11C-E6C484C26EF7}">
  <dimension ref="A1:L54"/>
  <sheetViews>
    <sheetView topLeftCell="A4" zoomScaleNormal="100" workbookViewId="0">
      <selection activeCell="H64" sqref="H64"/>
    </sheetView>
  </sheetViews>
  <sheetFormatPr defaultColWidth="11" defaultRowHeight="14.4" x14ac:dyDescent="0.3"/>
  <cols>
    <col min="1" max="1" width="39.77734375" style="1" bestFit="1" customWidth="1"/>
    <col min="2" max="16384" width="11" style="1"/>
  </cols>
  <sheetData>
    <row r="1" spans="1:12" s="37" customFormat="1" ht="21" x14ac:dyDescent="0.4">
      <c r="A1" s="38" t="s">
        <v>56</v>
      </c>
      <c r="B1" s="37" t="s">
        <v>175</v>
      </c>
    </row>
    <row r="2" spans="1:12" customFormat="1" ht="13.2" x14ac:dyDescent="0.25"/>
    <row r="3" spans="1:12" s="2" customFormat="1" x14ac:dyDescent="0.3">
      <c r="B3" s="1"/>
    </row>
    <row r="4" spans="1:12" s="2" customFormat="1" x14ac:dyDescent="0.3">
      <c r="B4" s="1" t="s">
        <v>152</v>
      </c>
    </row>
    <row r="5" spans="1:12" ht="18" x14ac:dyDescent="0.35">
      <c r="A5" s="39" t="s">
        <v>53</v>
      </c>
      <c r="B5" s="36" t="s">
        <v>185</v>
      </c>
    </row>
    <row r="6" spans="1:12" ht="18" x14ac:dyDescent="0.35">
      <c r="A6" s="39" t="s">
        <v>154</v>
      </c>
      <c r="B6" s="61" t="s">
        <v>183</v>
      </c>
      <c r="C6" s="61"/>
      <c r="D6" s="61"/>
      <c r="E6" s="61"/>
      <c r="F6" s="61"/>
      <c r="G6" s="61"/>
      <c r="H6" s="61"/>
      <c r="I6" s="61"/>
      <c r="J6" s="61"/>
      <c r="K6" s="61"/>
      <c r="L6" s="61"/>
    </row>
    <row r="7" spans="1:12" ht="18" x14ac:dyDescent="0.35">
      <c r="A7" s="39"/>
      <c r="B7" s="61" t="s">
        <v>184</v>
      </c>
      <c r="C7" s="61"/>
      <c r="D7" s="61"/>
      <c r="E7" s="61"/>
      <c r="F7" s="61"/>
      <c r="G7" s="61"/>
      <c r="H7" s="61"/>
      <c r="I7" s="61"/>
      <c r="J7" s="61"/>
      <c r="K7" s="61"/>
      <c r="L7" s="61"/>
    </row>
    <row r="9" spans="1:12" ht="23.4" x14ac:dyDescent="0.45">
      <c r="A9" s="14" t="s">
        <v>166</v>
      </c>
      <c r="I9" s="2"/>
      <c r="J9" s="2"/>
    </row>
    <row r="10" spans="1:12" x14ac:dyDescent="0.3">
      <c r="A10" s="30" t="s">
        <v>102</v>
      </c>
      <c r="B10" s="13" t="s">
        <v>49</v>
      </c>
      <c r="C10" s="13" t="s">
        <v>50</v>
      </c>
      <c r="D10" s="13" t="s">
        <v>51</v>
      </c>
      <c r="E10" s="13" t="s">
        <v>52</v>
      </c>
      <c r="F10" s="13" t="s">
        <v>54</v>
      </c>
      <c r="I10" s="2"/>
      <c r="J10" s="2"/>
    </row>
    <row r="11" spans="1:12" x14ac:dyDescent="0.3">
      <c r="A11" s="6" t="s">
        <v>122</v>
      </c>
      <c r="B11" s="9">
        <v>20000</v>
      </c>
      <c r="C11" s="9" t="s">
        <v>5</v>
      </c>
      <c r="D11" s="9">
        <v>0</v>
      </c>
      <c r="E11" s="7" t="s">
        <v>6</v>
      </c>
      <c r="F11" s="7">
        <v>24</v>
      </c>
      <c r="I11" s="2"/>
      <c r="J11" s="2"/>
    </row>
    <row r="14" spans="1:12" ht="23.4" x14ac:dyDescent="0.45">
      <c r="A14" s="14" t="s">
        <v>163</v>
      </c>
    </row>
    <row r="15" spans="1:12" x14ac:dyDescent="0.3">
      <c r="A15" s="10" t="s">
        <v>103</v>
      </c>
      <c r="B15" s="13" t="s">
        <v>49</v>
      </c>
      <c r="C15" s="11" t="s">
        <v>50</v>
      </c>
      <c r="D15" s="13" t="s">
        <v>51</v>
      </c>
      <c r="E15" s="11" t="s">
        <v>52</v>
      </c>
      <c r="F15" s="13" t="s">
        <v>54</v>
      </c>
    </row>
    <row r="16" spans="1:12" x14ac:dyDescent="0.3">
      <c r="A16" s="57" t="s">
        <v>122</v>
      </c>
      <c r="B16" s="55">
        <v>20000</v>
      </c>
      <c r="C16" s="56" t="s">
        <v>5</v>
      </c>
      <c r="D16" s="55">
        <v>0</v>
      </c>
      <c r="E16" s="56" t="s">
        <v>6</v>
      </c>
      <c r="F16" s="55">
        <v>24</v>
      </c>
    </row>
    <row r="17" spans="1:6" x14ac:dyDescent="0.3">
      <c r="A17" s="5" t="s">
        <v>123</v>
      </c>
      <c r="B17" s="55">
        <v>20002</v>
      </c>
      <c r="C17" s="56" t="s">
        <v>5</v>
      </c>
      <c r="D17" s="55">
        <v>0</v>
      </c>
      <c r="E17" s="56" t="s">
        <v>6</v>
      </c>
      <c r="F17" s="55">
        <v>24</v>
      </c>
    </row>
    <row r="18" spans="1:6" x14ac:dyDescent="0.3">
      <c r="A18" s="5" t="s">
        <v>124</v>
      </c>
      <c r="B18" s="55">
        <v>20004</v>
      </c>
      <c r="C18" s="56" t="s">
        <v>5</v>
      </c>
      <c r="D18" s="55">
        <v>0</v>
      </c>
      <c r="E18" s="56" t="s">
        <v>6</v>
      </c>
      <c r="F18" s="55">
        <v>24</v>
      </c>
    </row>
    <row r="19" spans="1:6" x14ac:dyDescent="0.3">
      <c r="A19" s="5" t="s">
        <v>125</v>
      </c>
      <c r="B19" s="55">
        <v>20006</v>
      </c>
      <c r="C19" s="56" t="s">
        <v>5</v>
      </c>
      <c r="D19" s="55">
        <v>0</v>
      </c>
      <c r="E19" s="56" t="s">
        <v>6</v>
      </c>
      <c r="F19" s="55">
        <v>24</v>
      </c>
    </row>
    <row r="20" spans="1:6" x14ac:dyDescent="0.3">
      <c r="A20" s="5" t="s">
        <v>126</v>
      </c>
      <c r="B20" s="55">
        <v>20008</v>
      </c>
      <c r="C20" s="56" t="s">
        <v>5</v>
      </c>
      <c r="D20" s="55">
        <v>0</v>
      </c>
      <c r="E20" s="56" t="s">
        <v>6</v>
      </c>
      <c r="F20" s="55">
        <v>24</v>
      </c>
    </row>
    <row r="21" spans="1:6" x14ac:dyDescent="0.3">
      <c r="A21" s="5" t="s">
        <v>127</v>
      </c>
      <c r="B21" s="55">
        <v>20010</v>
      </c>
      <c r="C21" s="56" t="s">
        <v>5</v>
      </c>
      <c r="D21" s="55">
        <v>0</v>
      </c>
      <c r="E21" s="56" t="s">
        <v>6</v>
      </c>
      <c r="F21" s="55">
        <v>24</v>
      </c>
    </row>
    <row r="22" spans="1:6" x14ac:dyDescent="0.3">
      <c r="A22" s="5" t="s">
        <v>128</v>
      </c>
      <c r="B22" s="55">
        <v>20012</v>
      </c>
      <c r="C22" s="56" t="s">
        <v>5</v>
      </c>
      <c r="D22" s="55">
        <v>0</v>
      </c>
      <c r="E22" s="56" t="s">
        <v>6</v>
      </c>
      <c r="F22" s="55">
        <v>24</v>
      </c>
    </row>
    <row r="23" spans="1:6" x14ac:dyDescent="0.3">
      <c r="A23" s="5" t="s">
        <v>129</v>
      </c>
      <c r="B23" s="55">
        <v>20014</v>
      </c>
      <c r="C23" s="56" t="s">
        <v>5</v>
      </c>
      <c r="D23" s="55">
        <v>0</v>
      </c>
      <c r="E23" s="56" t="s">
        <v>6</v>
      </c>
      <c r="F23" s="55">
        <v>24</v>
      </c>
    </row>
    <row r="24" spans="1:6" x14ac:dyDescent="0.3">
      <c r="A24" s="5" t="s">
        <v>130</v>
      </c>
      <c r="B24" s="55">
        <v>20016</v>
      </c>
      <c r="C24" s="56" t="s">
        <v>5</v>
      </c>
      <c r="D24" s="55">
        <v>0</v>
      </c>
      <c r="E24" s="56" t="s">
        <v>6</v>
      </c>
      <c r="F24" s="55">
        <v>24</v>
      </c>
    </row>
    <row r="25" spans="1:6" x14ac:dyDescent="0.3">
      <c r="A25" s="5" t="s">
        <v>131</v>
      </c>
      <c r="B25" s="55">
        <v>20018</v>
      </c>
      <c r="C25" s="56" t="s">
        <v>5</v>
      </c>
      <c r="D25" s="55">
        <v>0</v>
      </c>
      <c r="E25" s="56" t="s">
        <v>6</v>
      </c>
      <c r="F25" s="55">
        <v>24</v>
      </c>
    </row>
    <row r="26" spans="1:6" x14ac:dyDescent="0.3">
      <c r="A26" s="5" t="s">
        <v>132</v>
      </c>
      <c r="B26" s="55">
        <v>20020</v>
      </c>
      <c r="C26" s="56" t="s">
        <v>5</v>
      </c>
      <c r="D26" s="55">
        <v>0</v>
      </c>
      <c r="E26" s="56" t="s">
        <v>6</v>
      </c>
      <c r="F26" s="55">
        <v>24</v>
      </c>
    </row>
    <row r="27" spans="1:6" x14ac:dyDescent="0.3">
      <c r="A27" s="5" t="s">
        <v>133</v>
      </c>
      <c r="B27" s="55">
        <v>20022</v>
      </c>
      <c r="C27" s="56" t="s">
        <v>5</v>
      </c>
      <c r="D27" s="55">
        <v>0</v>
      </c>
      <c r="E27" s="56" t="s">
        <v>6</v>
      </c>
      <c r="F27" s="55">
        <v>24</v>
      </c>
    </row>
    <row r="28" spans="1:6" x14ac:dyDescent="0.3">
      <c r="A28" s="5" t="s">
        <v>134</v>
      </c>
      <c r="B28" s="55">
        <v>20024</v>
      </c>
      <c r="C28" s="56" t="s">
        <v>5</v>
      </c>
      <c r="D28" s="55">
        <v>0</v>
      </c>
      <c r="E28" s="56" t="s">
        <v>6</v>
      </c>
      <c r="F28" s="55">
        <v>24</v>
      </c>
    </row>
    <row r="29" spans="1:6" x14ac:dyDescent="0.3">
      <c r="A29" s="5" t="s">
        <v>135</v>
      </c>
      <c r="B29" s="55">
        <v>20026</v>
      </c>
      <c r="C29" s="56" t="s">
        <v>5</v>
      </c>
      <c r="D29" s="55">
        <v>0</v>
      </c>
      <c r="E29" s="56" t="s">
        <v>6</v>
      </c>
      <c r="F29" s="55">
        <v>24</v>
      </c>
    </row>
    <row r="30" spans="1:6" x14ac:dyDescent="0.3">
      <c r="A30" s="5" t="s">
        <v>136</v>
      </c>
      <c r="B30" s="55">
        <v>20028</v>
      </c>
      <c r="C30" s="56" t="s">
        <v>5</v>
      </c>
      <c r="D30" s="55">
        <v>0</v>
      </c>
      <c r="E30" s="56" t="s">
        <v>6</v>
      </c>
      <c r="F30" s="55">
        <v>24</v>
      </c>
    </row>
    <row r="31" spans="1:6" x14ac:dyDescent="0.3">
      <c r="A31" s="5" t="s">
        <v>137</v>
      </c>
      <c r="B31" s="55">
        <v>20030</v>
      </c>
      <c r="C31" s="56" t="s">
        <v>5</v>
      </c>
      <c r="D31" s="55">
        <v>0</v>
      </c>
      <c r="E31" s="56" t="s">
        <v>6</v>
      </c>
      <c r="F31" s="55">
        <v>24</v>
      </c>
    </row>
    <row r="32" spans="1:6" x14ac:dyDescent="0.3">
      <c r="A32" s="5" t="s">
        <v>138</v>
      </c>
      <c r="B32" s="55">
        <v>20032</v>
      </c>
      <c r="C32" s="56" t="s">
        <v>5</v>
      </c>
      <c r="D32" s="55">
        <v>0</v>
      </c>
      <c r="E32" s="56" t="s">
        <v>6</v>
      </c>
      <c r="F32" s="55">
        <v>24</v>
      </c>
    </row>
    <row r="33" spans="1:6" x14ac:dyDescent="0.3">
      <c r="A33" s="5" t="s">
        <v>139</v>
      </c>
      <c r="B33" s="55">
        <v>20034</v>
      </c>
      <c r="C33" s="56" t="s">
        <v>5</v>
      </c>
      <c r="D33" s="55">
        <v>0</v>
      </c>
      <c r="E33" s="56" t="s">
        <v>6</v>
      </c>
      <c r="F33" s="55">
        <v>24</v>
      </c>
    </row>
    <row r="34" spans="1:6" x14ac:dyDescent="0.3">
      <c r="A34" s="5" t="s">
        <v>140</v>
      </c>
      <c r="B34" s="55">
        <v>20036</v>
      </c>
      <c r="C34" s="56" t="s">
        <v>5</v>
      </c>
      <c r="D34" s="55">
        <v>0</v>
      </c>
      <c r="E34" s="56" t="s">
        <v>6</v>
      </c>
      <c r="F34" s="55">
        <v>24</v>
      </c>
    </row>
    <row r="35" spans="1:6" x14ac:dyDescent="0.3">
      <c r="A35" s="5" t="s">
        <v>141</v>
      </c>
      <c r="B35" s="55">
        <v>20038</v>
      </c>
      <c r="C35" s="56" t="s">
        <v>5</v>
      </c>
      <c r="D35" s="55">
        <v>0</v>
      </c>
      <c r="E35" s="56" t="s">
        <v>6</v>
      </c>
      <c r="F35" s="55">
        <v>24</v>
      </c>
    </row>
    <row r="36" spans="1:6" x14ac:dyDescent="0.3">
      <c r="A36" s="5" t="s">
        <v>142</v>
      </c>
      <c r="B36" s="55">
        <v>20040</v>
      </c>
      <c r="C36" s="56" t="s">
        <v>5</v>
      </c>
      <c r="D36" s="55">
        <v>0</v>
      </c>
      <c r="E36" s="56" t="s">
        <v>6</v>
      </c>
      <c r="F36" s="55">
        <v>24</v>
      </c>
    </row>
    <row r="37" spans="1:6" x14ac:dyDescent="0.3">
      <c r="A37" s="5" t="s">
        <v>143</v>
      </c>
      <c r="B37" s="55">
        <v>20042</v>
      </c>
      <c r="C37" s="56" t="s">
        <v>5</v>
      </c>
      <c r="D37" s="55">
        <v>0</v>
      </c>
      <c r="E37" s="56" t="s">
        <v>6</v>
      </c>
      <c r="F37" s="55">
        <v>24</v>
      </c>
    </row>
    <row r="38" spans="1:6" x14ac:dyDescent="0.3">
      <c r="A38" s="5" t="s">
        <v>144</v>
      </c>
      <c r="B38" s="55">
        <v>20044</v>
      </c>
      <c r="C38" s="56" t="s">
        <v>5</v>
      </c>
      <c r="D38" s="55">
        <v>0</v>
      </c>
      <c r="E38" s="56" t="s">
        <v>6</v>
      </c>
      <c r="F38" s="55">
        <v>24</v>
      </c>
    </row>
    <row r="39" spans="1:6" x14ac:dyDescent="0.3">
      <c r="A39" s="5" t="s">
        <v>145</v>
      </c>
      <c r="B39" s="55">
        <v>20046</v>
      </c>
      <c r="C39" s="56" t="s">
        <v>5</v>
      </c>
      <c r="D39" s="55">
        <v>0</v>
      </c>
      <c r="E39" s="56" t="s">
        <v>6</v>
      </c>
      <c r="F39" s="55">
        <v>24</v>
      </c>
    </row>
    <row r="40" spans="1:6" x14ac:dyDescent="0.3">
      <c r="A40" s="5" t="s">
        <v>146</v>
      </c>
      <c r="B40" s="55">
        <v>20048</v>
      </c>
      <c r="C40" s="56" t="s">
        <v>5</v>
      </c>
      <c r="D40" s="55">
        <v>0</v>
      </c>
      <c r="E40" s="56" t="s">
        <v>6</v>
      </c>
      <c r="F40" s="55">
        <v>24</v>
      </c>
    </row>
    <row r="41" spans="1:6" x14ac:dyDescent="0.3">
      <c r="A41" s="5" t="s">
        <v>147</v>
      </c>
      <c r="B41" s="55">
        <v>20050</v>
      </c>
      <c r="C41" s="56" t="s">
        <v>5</v>
      </c>
      <c r="D41" s="55">
        <v>0</v>
      </c>
      <c r="E41" s="56" t="s">
        <v>6</v>
      </c>
      <c r="F41" s="55">
        <v>24</v>
      </c>
    </row>
    <row r="42" spans="1:6" x14ac:dyDescent="0.3">
      <c r="A42" s="5" t="s">
        <v>148</v>
      </c>
      <c r="B42" s="55">
        <v>20052</v>
      </c>
      <c r="C42" s="56" t="s">
        <v>5</v>
      </c>
      <c r="D42" s="55">
        <v>0</v>
      </c>
      <c r="E42" s="56" t="s">
        <v>6</v>
      </c>
      <c r="F42" s="55">
        <v>24</v>
      </c>
    </row>
    <row r="43" spans="1:6" x14ac:dyDescent="0.3">
      <c r="A43" s="5" t="s">
        <v>149</v>
      </c>
      <c r="B43" s="55">
        <v>20054</v>
      </c>
      <c r="C43" s="56" t="s">
        <v>5</v>
      </c>
      <c r="D43" s="55">
        <v>0</v>
      </c>
      <c r="E43" s="56" t="s">
        <v>6</v>
      </c>
      <c r="F43" s="55">
        <v>24</v>
      </c>
    </row>
    <row r="44" spans="1:6" x14ac:dyDescent="0.3">
      <c r="A44" s="5" t="s">
        <v>150</v>
      </c>
      <c r="B44" s="55">
        <v>20058</v>
      </c>
      <c r="C44" s="56" t="s">
        <v>5</v>
      </c>
      <c r="D44" s="55">
        <v>0</v>
      </c>
      <c r="E44" s="56" t="s">
        <v>6</v>
      </c>
      <c r="F44" s="55">
        <v>24</v>
      </c>
    </row>
    <row r="45" spans="1:6" x14ac:dyDescent="0.3">
      <c r="A45" s="5" t="s">
        <v>151</v>
      </c>
      <c r="B45" s="55">
        <v>20060</v>
      </c>
      <c r="C45" s="56" t="s">
        <v>5</v>
      </c>
      <c r="D45" s="55">
        <v>0</v>
      </c>
      <c r="E45" s="56" t="s">
        <v>6</v>
      </c>
      <c r="F45" s="55">
        <v>24</v>
      </c>
    </row>
    <row r="46" spans="1:6" x14ac:dyDescent="0.3">
      <c r="A46" s="5" t="s">
        <v>113</v>
      </c>
      <c r="B46" s="55">
        <v>21000</v>
      </c>
      <c r="C46" s="56" t="s">
        <v>5</v>
      </c>
      <c r="D46" s="55">
        <v>0</v>
      </c>
      <c r="E46" s="56" t="s">
        <v>6</v>
      </c>
      <c r="F46" s="55">
        <v>24</v>
      </c>
    </row>
    <row r="47" spans="1:6" x14ac:dyDescent="0.3">
      <c r="A47" s="5" t="s">
        <v>114</v>
      </c>
      <c r="B47" s="55">
        <v>21002</v>
      </c>
      <c r="C47" s="56" t="s">
        <v>5</v>
      </c>
      <c r="D47" s="55">
        <v>0</v>
      </c>
      <c r="E47" s="56" t="s">
        <v>6</v>
      </c>
      <c r="F47" s="55">
        <v>24</v>
      </c>
    </row>
    <row r="48" spans="1:6" x14ac:dyDescent="0.3">
      <c r="A48" s="5" t="s">
        <v>115</v>
      </c>
      <c r="B48" s="55">
        <v>21004</v>
      </c>
      <c r="C48" s="56" t="s">
        <v>5</v>
      </c>
      <c r="D48" s="55">
        <v>0</v>
      </c>
      <c r="E48" s="56" t="s">
        <v>6</v>
      </c>
      <c r="F48" s="55">
        <v>24</v>
      </c>
    </row>
    <row r="49" spans="1:6" x14ac:dyDescent="0.3">
      <c r="A49" s="5" t="s">
        <v>116</v>
      </c>
      <c r="B49" s="55">
        <v>21006</v>
      </c>
      <c r="C49" s="56" t="s">
        <v>5</v>
      </c>
      <c r="D49" s="55">
        <v>0</v>
      </c>
      <c r="E49" s="56" t="s">
        <v>6</v>
      </c>
      <c r="F49" s="55">
        <v>24</v>
      </c>
    </row>
    <row r="50" spans="1:6" x14ac:dyDescent="0.3">
      <c r="A50" s="5" t="s">
        <v>117</v>
      </c>
      <c r="B50" s="55">
        <v>21008</v>
      </c>
      <c r="C50" s="56" t="s">
        <v>5</v>
      </c>
      <c r="D50" s="55">
        <v>0</v>
      </c>
      <c r="E50" s="56" t="s">
        <v>6</v>
      </c>
      <c r="F50" s="55">
        <v>24</v>
      </c>
    </row>
    <row r="51" spans="1:6" x14ac:dyDescent="0.3">
      <c r="A51" s="5" t="s">
        <v>118</v>
      </c>
      <c r="B51" s="55">
        <v>21010</v>
      </c>
      <c r="C51" s="56" t="s">
        <v>5</v>
      </c>
      <c r="D51" s="55">
        <v>0</v>
      </c>
      <c r="E51" s="56" t="s">
        <v>6</v>
      </c>
      <c r="F51" s="55">
        <v>24</v>
      </c>
    </row>
    <row r="52" spans="1:6" x14ac:dyDescent="0.3">
      <c r="A52" s="5" t="s">
        <v>119</v>
      </c>
      <c r="B52" s="55">
        <v>21012</v>
      </c>
      <c r="C52" s="56" t="s">
        <v>5</v>
      </c>
      <c r="D52" s="55">
        <v>0</v>
      </c>
      <c r="E52" s="56" t="s">
        <v>6</v>
      </c>
      <c r="F52" s="55">
        <v>24</v>
      </c>
    </row>
    <row r="53" spans="1:6" x14ac:dyDescent="0.3">
      <c r="A53" s="5" t="s">
        <v>120</v>
      </c>
      <c r="B53" s="55">
        <v>21014</v>
      </c>
      <c r="C53" s="56" t="s">
        <v>5</v>
      </c>
      <c r="D53" s="55">
        <v>0</v>
      </c>
      <c r="E53" s="56" t="s">
        <v>6</v>
      </c>
      <c r="F53" s="55">
        <v>24</v>
      </c>
    </row>
    <row r="54" spans="1:6" x14ac:dyDescent="0.3">
      <c r="A54" s="6" t="s">
        <v>121</v>
      </c>
      <c r="B54" s="58">
        <v>21016</v>
      </c>
      <c r="C54" s="59" t="s">
        <v>5</v>
      </c>
      <c r="D54" s="58">
        <v>0</v>
      </c>
      <c r="E54" s="60" t="s">
        <v>6</v>
      </c>
      <c r="F54" s="58">
        <v>24</v>
      </c>
    </row>
  </sheetData>
  <phoneticPr fontId="10" type="noConversion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5D5901F-1994-A940-B935-A86D4CB37D9F}">
  <dimension ref="A1:H22"/>
  <sheetViews>
    <sheetView zoomScaleNormal="100" workbookViewId="0">
      <selection activeCell="F16" sqref="F16"/>
    </sheetView>
  </sheetViews>
  <sheetFormatPr defaultColWidth="11" defaultRowHeight="13.8" x14ac:dyDescent="0.3"/>
  <cols>
    <col min="1" max="1" width="28.21875" style="2" bestFit="1" customWidth="1"/>
    <col min="2" max="2" width="22.88671875" style="2" customWidth="1"/>
    <col min="3" max="3" width="11" style="2" bestFit="1" customWidth="1"/>
    <col min="4" max="4" width="13.21875" style="2" bestFit="1" customWidth="1"/>
    <col min="5" max="5" width="10.77734375" style="2" bestFit="1" customWidth="1"/>
    <col min="6" max="6" width="13.44140625" style="2" bestFit="1" customWidth="1"/>
    <col min="7" max="8" width="14.5546875" style="2" bestFit="1" customWidth="1"/>
    <col min="9" max="9" width="17.77734375" style="2" bestFit="1" customWidth="1"/>
    <col min="10" max="10" width="11" style="2" bestFit="1" customWidth="1"/>
    <col min="11" max="11" width="9" style="2" bestFit="1" customWidth="1"/>
    <col min="12" max="12" width="10.77734375" style="2" bestFit="1" customWidth="1"/>
    <col min="13" max="13" width="12.44140625" style="2" bestFit="1" customWidth="1"/>
    <col min="14" max="14" width="11" style="2" bestFit="1" customWidth="1"/>
    <col min="15" max="15" width="8" style="2" bestFit="1" customWidth="1"/>
    <col min="16" max="16" width="12.44140625" style="2" bestFit="1" customWidth="1"/>
    <col min="17" max="17" width="12.5546875" style="2" bestFit="1" customWidth="1"/>
    <col min="18" max="18" width="24.21875" style="2" bestFit="1" customWidth="1"/>
    <col min="19" max="19" width="12.5546875" style="2" bestFit="1" customWidth="1"/>
    <col min="20" max="20" width="16" style="2" bestFit="1" customWidth="1"/>
    <col min="21" max="21" width="9" style="2" bestFit="1" customWidth="1"/>
    <col min="22" max="22" width="10.77734375" style="2" bestFit="1" customWidth="1"/>
    <col min="23" max="24" width="13.44140625" style="2" bestFit="1" customWidth="1"/>
    <col min="25" max="25" width="15" style="2" bestFit="1" customWidth="1"/>
    <col min="26" max="16384" width="11" style="2"/>
  </cols>
  <sheetData>
    <row r="1" spans="1:8" ht="21" x14ac:dyDescent="0.4">
      <c r="A1" s="38" t="s">
        <v>85</v>
      </c>
      <c r="B1" s="37" t="s">
        <v>168</v>
      </c>
    </row>
    <row r="2" spans="1:8" ht="18" x14ac:dyDescent="0.35">
      <c r="B2" s="36" t="s">
        <v>167</v>
      </c>
    </row>
    <row r="5" spans="1:8" ht="14.4" x14ac:dyDescent="0.3">
      <c r="B5" s="1" t="s">
        <v>152</v>
      </c>
    </row>
    <row r="6" spans="1:8" ht="29.4" customHeight="1" x14ac:dyDescent="0.3">
      <c r="A6" s="62" t="s">
        <v>53</v>
      </c>
      <c r="B6" s="66" t="s">
        <v>186</v>
      </c>
      <c r="C6" s="66"/>
      <c r="D6" s="66"/>
      <c r="E6" s="66"/>
      <c r="F6" s="66"/>
      <c r="G6" s="66"/>
    </row>
    <row r="7" spans="1:8" ht="14.4" x14ac:dyDescent="0.3">
      <c r="A7" s="3" t="s">
        <v>154</v>
      </c>
      <c r="B7" s="63" t="s">
        <v>187</v>
      </c>
      <c r="C7" s="64"/>
      <c r="D7" s="64"/>
      <c r="E7" s="64"/>
      <c r="F7" s="64"/>
      <c r="G7" s="64"/>
      <c r="H7" s="64"/>
    </row>
    <row r="8" spans="1:8" x14ac:dyDescent="0.3">
      <c r="B8" s="64" t="s">
        <v>188</v>
      </c>
      <c r="C8" s="64"/>
      <c r="D8" s="64"/>
      <c r="E8" s="64"/>
      <c r="F8" s="64"/>
      <c r="G8" s="64"/>
      <c r="H8" s="64"/>
    </row>
    <row r="10" spans="1:8" ht="23.4" x14ac:dyDescent="0.45">
      <c r="A10" s="14" t="s">
        <v>163</v>
      </c>
    </row>
    <row r="11" spans="1:8" ht="14.4" x14ac:dyDescent="0.3">
      <c r="A11" s="29" t="s">
        <v>86</v>
      </c>
      <c r="B11" s="13" t="s">
        <v>87</v>
      </c>
      <c r="C11" s="13" t="s">
        <v>88</v>
      </c>
    </row>
    <row r="12" spans="1:8" ht="14.4" x14ac:dyDescent="0.3">
      <c r="A12" s="29">
        <v>44927</v>
      </c>
      <c r="B12" s="13" t="s">
        <v>59</v>
      </c>
      <c r="C12" s="13">
        <v>200</v>
      </c>
    </row>
    <row r="13" spans="1:8" ht="14.4" x14ac:dyDescent="0.3">
      <c r="A13" s="29">
        <v>44928</v>
      </c>
      <c r="B13" s="13" t="s">
        <v>60</v>
      </c>
      <c r="C13" s="13">
        <v>20</v>
      </c>
    </row>
    <row r="14" spans="1:8" ht="14.4" x14ac:dyDescent="0.3">
      <c r="A14" s="29">
        <v>44929</v>
      </c>
      <c r="B14" s="13" t="s">
        <v>61</v>
      </c>
      <c r="C14" s="13">
        <v>50</v>
      </c>
    </row>
    <row r="15" spans="1:8" ht="14.4" x14ac:dyDescent="0.3">
      <c r="A15" s="29">
        <v>44930</v>
      </c>
      <c r="B15" s="13" t="s">
        <v>62</v>
      </c>
      <c r="C15" s="13">
        <v>20</v>
      </c>
    </row>
    <row r="16" spans="1:8" ht="14.4" x14ac:dyDescent="0.3">
      <c r="A16" s="29">
        <v>44931</v>
      </c>
      <c r="B16" s="13" t="s">
        <v>63</v>
      </c>
      <c r="C16" s="13">
        <v>10</v>
      </c>
    </row>
    <row r="17" spans="1:3" ht="14.4" x14ac:dyDescent="0.3">
      <c r="A17" s="29">
        <v>44932</v>
      </c>
      <c r="B17" s="13" t="s">
        <v>155</v>
      </c>
      <c r="C17" s="13">
        <v>150</v>
      </c>
    </row>
    <row r="18" spans="1:3" ht="14.4" x14ac:dyDescent="0.3">
      <c r="A18" s="29">
        <v>44933</v>
      </c>
      <c r="B18" s="13" t="s">
        <v>156</v>
      </c>
      <c r="C18" s="13">
        <v>80</v>
      </c>
    </row>
    <row r="19" spans="1:3" ht="14.4" x14ac:dyDescent="0.3">
      <c r="A19" s="29">
        <v>44934</v>
      </c>
      <c r="B19" s="13" t="s">
        <v>157</v>
      </c>
      <c r="C19" s="13">
        <v>20</v>
      </c>
    </row>
    <row r="20" spans="1:3" ht="14.4" x14ac:dyDescent="0.3">
      <c r="A20" s="29">
        <v>44935</v>
      </c>
      <c r="B20" s="13" t="s">
        <v>158</v>
      </c>
      <c r="C20" s="13">
        <v>30</v>
      </c>
    </row>
    <row r="21" spans="1:3" ht="14.4" x14ac:dyDescent="0.3">
      <c r="A21" s="29">
        <v>44936</v>
      </c>
      <c r="B21" s="13" t="s">
        <v>159</v>
      </c>
      <c r="C21" s="13">
        <v>20</v>
      </c>
    </row>
    <row r="22" spans="1:3" ht="14.4" x14ac:dyDescent="0.3">
      <c r="B22" s="13" t="s">
        <v>160</v>
      </c>
      <c r="C22" s="21">
        <f>SUM(C12:C21)</f>
        <v>600</v>
      </c>
    </row>
  </sheetData>
  <mergeCells count="1">
    <mergeCell ref="B6:G6"/>
  </mergeCells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06F330-97AE-A942-8785-1096ACF2182C}">
  <dimension ref="A1:N35"/>
  <sheetViews>
    <sheetView zoomScale="98" zoomScaleNormal="100" workbookViewId="0">
      <selection activeCell="I26" sqref="I26"/>
    </sheetView>
  </sheetViews>
  <sheetFormatPr defaultColWidth="11" defaultRowHeight="13.8" x14ac:dyDescent="0.3"/>
  <cols>
    <col min="1" max="1" width="28.21875" style="2" bestFit="1" customWidth="1"/>
    <col min="2" max="16384" width="11" style="2"/>
  </cols>
  <sheetData>
    <row r="1" spans="1:14" ht="21" x14ac:dyDescent="0.4">
      <c r="A1" s="38" t="s">
        <v>98</v>
      </c>
      <c r="B1" s="37" t="s">
        <v>176</v>
      </c>
    </row>
    <row r="3" spans="1:14" ht="14.4" x14ac:dyDescent="0.3">
      <c r="B3" s="1" t="s">
        <v>152</v>
      </c>
    </row>
    <row r="4" spans="1:14" ht="18" x14ac:dyDescent="0.35">
      <c r="A4" s="39" t="s">
        <v>53</v>
      </c>
      <c r="B4" s="1"/>
    </row>
    <row r="5" spans="1:14" ht="18" x14ac:dyDescent="0.35">
      <c r="A5" s="39" t="s">
        <v>154</v>
      </c>
      <c r="B5" s="1"/>
    </row>
    <row r="6" spans="1:14" ht="14.4" x14ac:dyDescent="0.3">
      <c r="A6" s="3"/>
      <c r="B6" s="1"/>
    </row>
    <row r="8" spans="1:14" ht="23.4" x14ac:dyDescent="0.45">
      <c r="A8" s="14" t="s">
        <v>163</v>
      </c>
      <c r="M8" s="14" t="s">
        <v>164</v>
      </c>
    </row>
    <row r="9" spans="1:14" ht="14.4" x14ac:dyDescent="0.3">
      <c r="A9" s="22"/>
      <c r="B9" s="22" t="s">
        <v>89</v>
      </c>
      <c r="C9" s="22" t="s">
        <v>90</v>
      </c>
      <c r="D9" s="22" t="s">
        <v>91</v>
      </c>
      <c r="E9" s="22" t="s">
        <v>92</v>
      </c>
      <c r="F9" s="22" t="s">
        <v>93</v>
      </c>
      <c r="G9" s="22" t="s">
        <v>94</v>
      </c>
      <c r="H9" s="22" t="s">
        <v>95</v>
      </c>
      <c r="I9" s="22" t="s">
        <v>96</v>
      </c>
      <c r="J9" s="22" t="s">
        <v>97</v>
      </c>
      <c r="M9" s="15" t="s">
        <v>43</v>
      </c>
      <c r="N9" s="15" t="s">
        <v>99</v>
      </c>
    </row>
    <row r="10" spans="1:14" ht="14.4" x14ac:dyDescent="0.3">
      <c r="A10" s="22" t="s">
        <v>89</v>
      </c>
      <c r="B10" s="21">
        <v>-1</v>
      </c>
      <c r="C10" s="21">
        <v>95</v>
      </c>
      <c r="D10" s="21">
        <v>-1</v>
      </c>
      <c r="E10" s="21">
        <v>185</v>
      </c>
      <c r="F10" s="21">
        <v>255</v>
      </c>
      <c r="G10" s="21">
        <v>305</v>
      </c>
      <c r="H10" s="21">
        <v>415</v>
      </c>
      <c r="I10" s="21">
        <v>480</v>
      </c>
      <c r="J10" s="21">
        <v>525</v>
      </c>
      <c r="K10" s="2">
        <f>SUM(B10:J10)</f>
        <v>2258</v>
      </c>
      <c r="M10" s="8">
        <v>10100</v>
      </c>
      <c r="N10" s="8" t="s">
        <v>89</v>
      </c>
    </row>
    <row r="11" spans="1:14" ht="14.4" x14ac:dyDescent="0.3">
      <c r="A11" s="22" t="s">
        <v>90</v>
      </c>
      <c r="B11" s="21">
        <v>95</v>
      </c>
      <c r="C11" s="21">
        <v>-1</v>
      </c>
      <c r="D11" s="21">
        <v>-1</v>
      </c>
      <c r="E11" s="21">
        <v>90</v>
      </c>
      <c r="F11" s="21">
        <v>160</v>
      </c>
      <c r="G11" s="21">
        <v>210</v>
      </c>
      <c r="H11" s="21">
        <v>325</v>
      </c>
      <c r="I11" s="21">
        <v>390</v>
      </c>
      <c r="J11" s="21">
        <v>430</v>
      </c>
      <c r="K11" s="2">
        <f t="shared" ref="K11:K18" si="0">SUM(B11:J11)</f>
        <v>1698</v>
      </c>
      <c r="M11" s="8">
        <v>10102</v>
      </c>
      <c r="N11" s="8" t="s">
        <v>90</v>
      </c>
    </row>
    <row r="12" spans="1:14" ht="14.4" x14ac:dyDescent="0.3">
      <c r="A12" s="22" t="s">
        <v>91</v>
      </c>
      <c r="B12" s="21">
        <v>-1</v>
      </c>
      <c r="C12" s="21">
        <v>-1</v>
      </c>
      <c r="D12" s="21">
        <v>-1</v>
      </c>
      <c r="E12" s="21">
        <v>60</v>
      </c>
      <c r="F12" s="21">
        <v>130</v>
      </c>
      <c r="G12" s="21">
        <v>180</v>
      </c>
      <c r="H12" s="21">
        <v>295</v>
      </c>
      <c r="I12" s="21">
        <v>355</v>
      </c>
      <c r="J12" s="21">
        <v>400</v>
      </c>
      <c r="K12" s="2">
        <f t="shared" si="0"/>
        <v>1417</v>
      </c>
      <c r="M12" s="8">
        <v>10104</v>
      </c>
      <c r="N12" s="8" t="s">
        <v>91</v>
      </c>
    </row>
    <row r="13" spans="1:14" ht="14.4" x14ac:dyDescent="0.3">
      <c r="A13" s="22" t="s">
        <v>92</v>
      </c>
      <c r="B13" s="21">
        <v>185</v>
      </c>
      <c r="C13" s="21">
        <v>90</v>
      </c>
      <c r="D13" s="21">
        <v>60</v>
      </c>
      <c r="E13" s="21">
        <v>-1</v>
      </c>
      <c r="F13" s="21">
        <v>70</v>
      </c>
      <c r="G13" s="21">
        <v>120</v>
      </c>
      <c r="H13" s="21">
        <v>235</v>
      </c>
      <c r="I13" s="21">
        <v>300</v>
      </c>
      <c r="J13" s="21">
        <v>340</v>
      </c>
      <c r="K13" s="2">
        <f t="shared" si="0"/>
        <v>1399</v>
      </c>
      <c r="M13" s="8">
        <v>10106</v>
      </c>
      <c r="N13" s="8" t="s">
        <v>92</v>
      </c>
    </row>
    <row r="14" spans="1:14" ht="14.4" x14ac:dyDescent="0.3">
      <c r="A14" s="22" t="s">
        <v>93</v>
      </c>
      <c r="B14" s="21">
        <v>255</v>
      </c>
      <c r="C14" s="21">
        <v>160</v>
      </c>
      <c r="D14" s="21">
        <v>130</v>
      </c>
      <c r="E14" s="21">
        <v>70</v>
      </c>
      <c r="F14" s="21">
        <v>-1</v>
      </c>
      <c r="G14" s="21">
        <v>50</v>
      </c>
      <c r="H14" s="21">
        <v>165</v>
      </c>
      <c r="I14" s="21">
        <v>230</v>
      </c>
      <c r="J14" s="21">
        <v>270</v>
      </c>
      <c r="K14" s="2">
        <f t="shared" si="0"/>
        <v>1329</v>
      </c>
      <c r="M14" s="8">
        <v>10108</v>
      </c>
      <c r="N14" s="8" t="s">
        <v>93</v>
      </c>
    </row>
    <row r="15" spans="1:14" ht="14.4" x14ac:dyDescent="0.3">
      <c r="A15" s="22" t="s">
        <v>94</v>
      </c>
      <c r="B15" s="21">
        <v>305</v>
      </c>
      <c r="C15" s="21">
        <v>210</v>
      </c>
      <c r="D15" s="21">
        <v>180</v>
      </c>
      <c r="E15" s="21">
        <v>120</v>
      </c>
      <c r="F15" s="21">
        <v>50</v>
      </c>
      <c r="G15" s="21">
        <v>-1</v>
      </c>
      <c r="H15" s="21">
        <v>115</v>
      </c>
      <c r="I15" s="21">
        <v>180</v>
      </c>
      <c r="J15" s="21">
        <v>220</v>
      </c>
      <c r="K15" s="2">
        <f t="shared" si="0"/>
        <v>1379</v>
      </c>
      <c r="M15" s="8">
        <v>10110</v>
      </c>
      <c r="N15" s="8" t="s">
        <v>94</v>
      </c>
    </row>
    <row r="16" spans="1:14" ht="14.4" x14ac:dyDescent="0.3">
      <c r="A16" s="22" t="s">
        <v>95</v>
      </c>
      <c r="B16" s="21">
        <v>415</v>
      </c>
      <c r="C16" s="21">
        <v>325</v>
      </c>
      <c r="D16" s="21">
        <v>295</v>
      </c>
      <c r="E16" s="21">
        <v>235</v>
      </c>
      <c r="F16" s="21">
        <v>165</v>
      </c>
      <c r="G16" s="21">
        <v>115</v>
      </c>
      <c r="H16" s="21">
        <v>-1</v>
      </c>
      <c r="I16" s="21">
        <v>65</v>
      </c>
      <c r="J16" s="21">
        <v>105</v>
      </c>
      <c r="K16" s="2">
        <f t="shared" si="0"/>
        <v>1719</v>
      </c>
      <c r="M16" s="8">
        <v>10112</v>
      </c>
      <c r="N16" s="8" t="s">
        <v>95</v>
      </c>
    </row>
    <row r="17" spans="1:14" ht="14.4" x14ac:dyDescent="0.3">
      <c r="A17" s="22" t="s">
        <v>96</v>
      </c>
      <c r="B17" s="21">
        <v>480</v>
      </c>
      <c r="C17" s="21">
        <v>390</v>
      </c>
      <c r="D17" s="21">
        <v>355</v>
      </c>
      <c r="E17" s="21">
        <v>300</v>
      </c>
      <c r="F17" s="21">
        <v>230</v>
      </c>
      <c r="G17" s="21">
        <v>180</v>
      </c>
      <c r="H17" s="21">
        <v>65</v>
      </c>
      <c r="I17" s="21">
        <v>-1</v>
      </c>
      <c r="J17" s="21">
        <v>40</v>
      </c>
      <c r="K17" s="2">
        <f t="shared" si="0"/>
        <v>2039</v>
      </c>
      <c r="M17" s="8">
        <v>10114</v>
      </c>
      <c r="N17" s="8" t="s">
        <v>96</v>
      </c>
    </row>
    <row r="18" spans="1:14" ht="14.4" x14ac:dyDescent="0.3">
      <c r="A18" s="22" t="s">
        <v>97</v>
      </c>
      <c r="B18" s="21">
        <v>525</v>
      </c>
      <c r="C18" s="21">
        <v>430</v>
      </c>
      <c r="D18" s="21">
        <v>400</v>
      </c>
      <c r="E18" s="21">
        <v>340</v>
      </c>
      <c r="F18" s="21">
        <v>270</v>
      </c>
      <c r="G18" s="21">
        <v>220</v>
      </c>
      <c r="H18" s="21">
        <v>105</v>
      </c>
      <c r="I18" s="21">
        <v>40</v>
      </c>
      <c r="J18" s="21">
        <v>-1</v>
      </c>
      <c r="K18" s="2">
        <f>SUM(B18:J18)</f>
        <v>2329</v>
      </c>
      <c r="M18" s="9">
        <v>10116</v>
      </c>
      <c r="N18" s="9" t="s">
        <v>97</v>
      </c>
    </row>
    <row r="19" spans="1:14" x14ac:dyDescent="0.3">
      <c r="B19" s="2">
        <f>SUM(B10:B18)</f>
        <v>2258</v>
      </c>
      <c r="C19" s="2">
        <f t="shared" ref="C19:J19" si="1">SUM(C10:C18)</f>
        <v>1698</v>
      </c>
      <c r="D19" s="2">
        <f t="shared" si="1"/>
        <v>1417</v>
      </c>
      <c r="E19" s="2">
        <f t="shared" si="1"/>
        <v>1399</v>
      </c>
      <c r="F19" s="2">
        <f t="shared" si="1"/>
        <v>1329</v>
      </c>
      <c r="G19" s="2">
        <f t="shared" si="1"/>
        <v>1379</v>
      </c>
      <c r="H19" s="2">
        <f t="shared" si="1"/>
        <v>1719</v>
      </c>
      <c r="I19" s="2">
        <f t="shared" si="1"/>
        <v>2039</v>
      </c>
      <c r="J19" s="2">
        <f>SUM(J10:J18)</f>
        <v>2329</v>
      </c>
    </row>
    <row r="21" spans="1:14" ht="23.4" x14ac:dyDescent="0.45">
      <c r="A21" s="14" t="s">
        <v>169</v>
      </c>
    </row>
    <row r="22" spans="1:14" ht="14.4" x14ac:dyDescent="0.3">
      <c r="A22" s="10" t="s">
        <v>100</v>
      </c>
      <c r="B22" s="13" t="s">
        <v>101</v>
      </c>
      <c r="C22" s="12" t="s">
        <v>102</v>
      </c>
      <c r="D22" s="2" t="s">
        <v>189</v>
      </c>
      <c r="E22" s="2" t="s">
        <v>190</v>
      </c>
      <c r="F22" s="2" t="s">
        <v>191</v>
      </c>
    </row>
    <row r="23" spans="1:14" ht="14.4" x14ac:dyDescent="0.3">
      <c r="A23" s="5">
        <v>10100</v>
      </c>
      <c r="B23" s="8">
        <v>10102</v>
      </c>
      <c r="C23" s="40">
        <f>SUM(B10:J10)+SUM(B11:J11)</f>
        <v>3956</v>
      </c>
      <c r="D23" s="2">
        <f>B11</f>
        <v>95</v>
      </c>
      <c r="E23" s="2">
        <f>B10+B11</f>
        <v>94</v>
      </c>
      <c r="F23" s="2">
        <f>B19-C19</f>
        <v>560</v>
      </c>
    </row>
    <row r="24" spans="1:14" ht="14.4" x14ac:dyDescent="0.3">
      <c r="A24" s="5">
        <v>10100</v>
      </c>
      <c r="B24" s="8">
        <v>10104</v>
      </c>
      <c r="C24" s="40">
        <f>SUM(B10:J10)+SUM(B12:J12)</f>
        <v>3675</v>
      </c>
      <c r="D24" s="2">
        <f>B12</f>
        <v>-1</v>
      </c>
      <c r="E24" s="2">
        <f>B10+B12</f>
        <v>-2</v>
      </c>
      <c r="F24" s="2">
        <f>B19-D19</f>
        <v>841</v>
      </c>
    </row>
    <row r="25" spans="1:14" ht="14.4" x14ac:dyDescent="0.3">
      <c r="A25" s="5">
        <v>10108</v>
      </c>
      <c r="B25" s="8">
        <v>10102</v>
      </c>
      <c r="C25" s="40">
        <f>SUM(B14:J14)+SUM(B11:J11)</f>
        <v>3027</v>
      </c>
      <c r="D25" s="2">
        <f>G11</f>
        <v>210</v>
      </c>
      <c r="E25" s="2">
        <f>B14+B11</f>
        <v>350</v>
      </c>
      <c r="F25" s="2">
        <f>F19-C19</f>
        <v>-369</v>
      </c>
    </row>
    <row r="26" spans="1:14" ht="14.4" x14ac:dyDescent="0.3">
      <c r="A26" s="5">
        <v>10100</v>
      </c>
      <c r="B26" s="8">
        <v>10106</v>
      </c>
      <c r="C26" s="40">
        <f>SUM(B10:J10)+SUM(B13:J13)</f>
        <v>3657</v>
      </c>
      <c r="D26" s="2">
        <f>B13</f>
        <v>185</v>
      </c>
      <c r="E26" s="2">
        <f>B10+B13</f>
        <v>184</v>
      </c>
      <c r="F26" s="2">
        <f>B19-E19</f>
        <v>859</v>
      </c>
    </row>
    <row r="27" spans="1:14" ht="14.4" x14ac:dyDescent="0.3">
      <c r="A27" s="5">
        <v>10108</v>
      </c>
      <c r="B27" s="8">
        <v>10110</v>
      </c>
      <c r="C27" s="40">
        <f>SUM(B14:J14)+SUM(B15:J15)</f>
        <v>2708</v>
      </c>
      <c r="D27" s="2">
        <f>G14</f>
        <v>50</v>
      </c>
      <c r="E27" s="2">
        <f>B14+B15</f>
        <v>560</v>
      </c>
      <c r="F27" s="2">
        <f>F19-G19</f>
        <v>-50</v>
      </c>
    </row>
    <row r="28" spans="1:14" ht="14.4" x14ac:dyDescent="0.3">
      <c r="A28" s="5">
        <v>10102</v>
      </c>
      <c r="B28" s="8">
        <v>10104</v>
      </c>
      <c r="C28" s="40">
        <f>SUM(B11:J11)+SUM(B12:J12)</f>
        <v>3115</v>
      </c>
      <c r="D28" s="2">
        <f>C12</f>
        <v>-1</v>
      </c>
      <c r="E28" s="2">
        <f>B11+B12</f>
        <v>94</v>
      </c>
      <c r="F28" s="2">
        <f>C19-D19</f>
        <v>281</v>
      </c>
    </row>
    <row r="29" spans="1:14" ht="14.4" x14ac:dyDescent="0.3">
      <c r="A29" s="5">
        <v>10106</v>
      </c>
      <c r="B29" s="8">
        <v>10108</v>
      </c>
      <c r="C29" s="40">
        <f>SUM(B13:J13)+SUM(B14:J14)</f>
        <v>2728</v>
      </c>
      <c r="D29" s="2">
        <f>E14</f>
        <v>70</v>
      </c>
      <c r="E29" s="2">
        <f>B13+B14</f>
        <v>440</v>
      </c>
      <c r="F29" s="2">
        <f>E19-F19</f>
        <v>70</v>
      </c>
    </row>
    <row r="30" spans="1:14" ht="14.4" x14ac:dyDescent="0.3">
      <c r="A30" s="5">
        <v>10102</v>
      </c>
      <c r="B30" s="8">
        <v>10106</v>
      </c>
      <c r="C30" s="40">
        <f>SUM(B11:J11)+SUM(B13:J13)</f>
        <v>3097</v>
      </c>
      <c r="D30" s="2">
        <f>C13</f>
        <v>90</v>
      </c>
      <c r="E30" s="2">
        <f>B11+B13</f>
        <v>280</v>
      </c>
      <c r="F30" s="2">
        <f>C19-E19</f>
        <v>299</v>
      </c>
    </row>
    <row r="31" spans="1:14" ht="14.4" x14ac:dyDescent="0.3">
      <c r="A31" s="5">
        <v>10110</v>
      </c>
      <c r="B31" s="8">
        <v>10114</v>
      </c>
      <c r="C31" s="40">
        <f>SUM(B15:J15)+SUM(B17:J17)</f>
        <v>3418</v>
      </c>
      <c r="D31" s="2">
        <f>G17</f>
        <v>180</v>
      </c>
      <c r="E31" s="2">
        <f>B15+B17</f>
        <v>785</v>
      </c>
      <c r="F31" s="2">
        <f>G19-I19</f>
        <v>-660</v>
      </c>
    </row>
    <row r="32" spans="1:14" ht="14.4" x14ac:dyDescent="0.3">
      <c r="A32" s="5">
        <v>10104</v>
      </c>
      <c r="B32" s="8">
        <v>10106</v>
      </c>
      <c r="C32" s="40">
        <f>SUM(B12:J12)+SUM(B13:J13)</f>
        <v>2816</v>
      </c>
      <c r="D32" s="2">
        <f>D13</f>
        <v>60</v>
      </c>
      <c r="E32" s="2">
        <f>B12+B13</f>
        <v>184</v>
      </c>
      <c r="F32" s="2">
        <f>D19-E19</f>
        <v>18</v>
      </c>
    </row>
    <row r="33" spans="1:6" ht="14.4" x14ac:dyDescent="0.3">
      <c r="A33" s="5">
        <v>10110</v>
      </c>
      <c r="B33" s="8">
        <v>10112</v>
      </c>
      <c r="C33" s="40">
        <f>SUM(B15:J15)+SUM(B16:J16)</f>
        <v>3098</v>
      </c>
      <c r="D33" s="2">
        <f>G16</f>
        <v>115</v>
      </c>
      <c r="E33" s="2">
        <f>B15+B16</f>
        <v>720</v>
      </c>
      <c r="F33" s="2">
        <f>G19-H19</f>
        <v>-340</v>
      </c>
    </row>
    <row r="34" spans="1:6" ht="14.4" x14ac:dyDescent="0.3">
      <c r="A34" s="5">
        <v>10100</v>
      </c>
      <c r="B34" s="8">
        <v>10114</v>
      </c>
      <c r="C34" s="40">
        <f>SUM(B10:J10)+SUM(B17:J17)</f>
        <v>4297</v>
      </c>
      <c r="D34" s="2">
        <f>B17</f>
        <v>480</v>
      </c>
      <c r="E34" s="2">
        <f>B10+B17</f>
        <v>479</v>
      </c>
      <c r="F34" s="2">
        <f>B19-I19</f>
        <v>219</v>
      </c>
    </row>
    <row r="35" spans="1:6" ht="14.4" x14ac:dyDescent="0.3">
      <c r="A35" s="6">
        <v>10112</v>
      </c>
      <c r="B35" s="9">
        <v>10116</v>
      </c>
      <c r="C35" s="41">
        <f>SUM(B16:J16)+SUM(B18:J18)</f>
        <v>4048</v>
      </c>
      <c r="D35" s="2">
        <f>H18</f>
        <v>105</v>
      </c>
      <c r="E35" s="2">
        <f>B16+B18</f>
        <v>940</v>
      </c>
      <c r="F35" s="2">
        <f>H19-J19</f>
        <v>-610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8</vt:i4>
      </vt:variant>
    </vt:vector>
  </HeadingPairs>
  <TitlesOfParts>
    <vt:vector size="8" baseType="lpstr">
      <vt:lpstr>Instructions</vt:lpstr>
      <vt:lpstr>Dataset</vt:lpstr>
      <vt:lpstr>Task_1</vt:lpstr>
      <vt:lpstr>solution_1</vt:lpstr>
      <vt:lpstr>Task_2</vt:lpstr>
      <vt:lpstr>Task_3</vt:lpstr>
      <vt:lpstr>Task_4</vt:lpstr>
      <vt:lpstr>Task_5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sangram</dc:creator>
  <cp:lastModifiedBy>Samar dasadhikari</cp:lastModifiedBy>
  <dcterms:created xsi:type="dcterms:W3CDTF">2015-02-10T17:33:11Z</dcterms:created>
  <dcterms:modified xsi:type="dcterms:W3CDTF">2023-12-09T11:56:15Z</dcterms:modified>
</cp:coreProperties>
</file>